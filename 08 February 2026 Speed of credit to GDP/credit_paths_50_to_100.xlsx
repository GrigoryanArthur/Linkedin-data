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6a9da4622382dea/Documents/Linkedin data/08 February 2026 Speed of credit to GDP/"/>
    </mc:Choice>
  </mc:AlternateContent>
  <xr:revisionPtr revIDLastSave="446" documentId="11_23F921ED17034EC79A2D84316EF6E2FA7453008A" xr6:coauthVersionLast="47" xr6:coauthVersionMax="47" xr10:uidLastSave="{C3837D0D-91FC-400D-9AB5-B3492AC3A814}"/>
  <bookViews>
    <workbookView xWindow="-98" yWindow="-98" windowWidth="19396" windowHeight="11475" activeTab="1" xr2:uid="{00000000-000D-0000-FFFF-FFFF00000000}"/>
  </bookViews>
  <sheets>
    <sheet name="Sheet1" sheetId="1" r:id="rId1"/>
    <sheet name="Final" sheetId="2" r:id="rId2"/>
    <sheet name="Sheet3" sheetId="3" r:id="rId3"/>
    <sheet name="Setup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2" l="1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5" i="2"/>
  <c r="C13" i="2"/>
  <c r="C30" i="2"/>
  <c r="C29" i="2"/>
  <c r="C17" i="2"/>
  <c r="C20" i="2"/>
  <c r="C5" i="2"/>
  <c r="C26" i="2"/>
  <c r="C22" i="2"/>
  <c r="C12" i="2"/>
  <c r="C14" i="2"/>
  <c r="C27" i="2"/>
  <c r="C24" i="2"/>
  <c r="C9" i="2"/>
  <c r="C6" i="2"/>
  <c r="C10" i="2"/>
  <c r="C38" i="2"/>
  <c r="C33" i="2"/>
  <c r="C31" i="2"/>
  <c r="C28" i="2"/>
  <c r="C37" i="2"/>
  <c r="C34" i="2"/>
  <c r="C19" i="2"/>
  <c r="C7" i="2"/>
  <c r="C16" i="2"/>
  <c r="C11" i="2"/>
  <c r="C15" i="2"/>
  <c r="C35" i="2"/>
  <c r="C32" i="2"/>
  <c r="C23" i="2"/>
  <c r="C21" i="2"/>
  <c r="C25" i="2"/>
  <c r="C8" i="2"/>
  <c r="C36" i="2"/>
  <c r="C18" i="2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I12" i="1"/>
  <c r="J12" i="1"/>
  <c r="K12" i="1"/>
  <c r="L12" i="1"/>
  <c r="M12" i="1"/>
  <c r="N12" i="1"/>
  <c r="O12" i="1"/>
  <c r="P12" i="1"/>
  <c r="Q12" i="1"/>
  <c r="R12" i="1"/>
  <c r="I13" i="1"/>
  <c r="J13" i="1"/>
  <c r="K13" i="1"/>
  <c r="L13" i="1"/>
  <c r="M13" i="1"/>
  <c r="N13" i="1"/>
  <c r="O13" i="1"/>
  <c r="P13" i="1"/>
  <c r="Q13" i="1"/>
  <c r="R13" i="1"/>
  <c r="S13" i="1"/>
  <c r="T13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I16" i="1"/>
  <c r="J16" i="1"/>
  <c r="K16" i="1"/>
  <c r="L16" i="1"/>
  <c r="M16" i="1"/>
  <c r="N16" i="1"/>
  <c r="O16" i="1"/>
  <c r="I17" i="1"/>
  <c r="J17" i="1"/>
  <c r="K17" i="1"/>
  <c r="L17" i="1"/>
  <c r="M17" i="1"/>
  <c r="N17" i="1"/>
  <c r="I18" i="1"/>
  <c r="J18" i="1"/>
  <c r="K18" i="1"/>
  <c r="L18" i="1"/>
  <c r="M18" i="1"/>
  <c r="N18" i="1"/>
  <c r="O18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AQ19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I26" i="1"/>
  <c r="J26" i="1"/>
  <c r="K26" i="1"/>
  <c r="L26" i="1"/>
  <c r="M26" i="1"/>
  <c r="N26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I28" i="1"/>
  <c r="J28" i="1"/>
  <c r="K28" i="1"/>
  <c r="L28" i="1"/>
  <c r="M28" i="1"/>
  <c r="N28" i="1"/>
  <c r="O28" i="1"/>
  <c r="P28" i="1"/>
  <c r="Q28" i="1"/>
  <c r="I29" i="1"/>
  <c r="J29" i="1"/>
  <c r="K29" i="1"/>
  <c r="L29" i="1"/>
  <c r="M29" i="1"/>
  <c r="N29" i="1"/>
  <c r="O29" i="1"/>
  <c r="P29" i="1"/>
  <c r="Q29" i="1"/>
  <c r="R29" i="1"/>
  <c r="S29" i="1"/>
  <c r="T29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I35" i="1"/>
  <c r="J35" i="1"/>
  <c r="K35" i="1"/>
  <c r="L35" i="1"/>
  <c r="M35" i="1"/>
  <c r="N35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AJ36" i="1"/>
  <c r="AK36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I3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2" i="1"/>
</calcChain>
</file>

<file path=xl/sharedStrings.xml><?xml version="1.0" encoding="utf-8"?>
<sst xmlns="http://schemas.openxmlformats.org/spreadsheetml/2006/main" count="1256" uniqueCount="541">
  <si>
    <t>Country Code</t>
  </si>
  <si>
    <t>year</t>
  </si>
  <si>
    <t>credit_to_gdp</t>
  </si>
  <si>
    <t>year_thr1</t>
  </si>
  <si>
    <t>year_thr2</t>
  </si>
  <si>
    <t>AUS</t>
  </si>
  <si>
    <t>BRA</t>
  </si>
  <si>
    <t>CAN</t>
  </si>
  <si>
    <t>CHN</t>
  </si>
  <si>
    <t>DNK</t>
  </si>
  <si>
    <t>EAP</t>
  </si>
  <si>
    <t>EST</t>
  </si>
  <si>
    <t>FIN</t>
  </si>
  <si>
    <t>FJI</t>
  </si>
  <si>
    <t>GRC</t>
  </si>
  <si>
    <t>HIC</t>
  </si>
  <si>
    <t>IBD</t>
  </si>
  <si>
    <t>IBT</t>
  </si>
  <si>
    <t>ISL</t>
  </si>
  <si>
    <t>KHM</t>
  </si>
  <si>
    <t>KOR</t>
  </si>
  <si>
    <t>KWT</t>
  </si>
  <si>
    <t>LBN</t>
  </si>
  <si>
    <t>LMY</t>
  </si>
  <si>
    <t>LTE</t>
  </si>
  <si>
    <t>MAC</t>
  </si>
  <si>
    <t>MIC</t>
  </si>
  <si>
    <t>MUS</t>
  </si>
  <si>
    <t>MYS</t>
  </si>
  <si>
    <t>NPL</t>
  </si>
  <si>
    <t>OED</t>
  </si>
  <si>
    <t>PST</t>
  </si>
  <si>
    <t>QAT</t>
  </si>
  <si>
    <t>SGP</t>
  </si>
  <si>
    <t>SWE</t>
  </si>
  <si>
    <t>TEA</t>
  </si>
  <si>
    <t>UMC</t>
  </si>
  <si>
    <t>VNM</t>
  </si>
  <si>
    <t>ZAF</t>
  </si>
  <si>
    <t>year count</t>
  </si>
  <si>
    <t>Country</t>
  </si>
  <si>
    <t>Number of years</t>
  </si>
  <si>
    <t>ABW</t>
  </si>
  <si>
    <t>AFE</t>
  </si>
  <si>
    <t>AFG</t>
  </si>
  <si>
    <t>AFW</t>
  </si>
  <si>
    <t>AGO</t>
  </si>
  <si>
    <t>ALB</t>
  </si>
  <si>
    <t>AND</t>
  </si>
  <si>
    <t>ARB</t>
  </si>
  <si>
    <t>ARE</t>
  </si>
  <si>
    <t>ARG</t>
  </si>
  <si>
    <t>ARM</t>
  </si>
  <si>
    <t>ASM</t>
  </si>
  <si>
    <t>ATG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</si>
  <si>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</si>
  <si>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</si>
  <si>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</si>
  <si>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</si>
  <si>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</si>
  <si>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</si>
  <si>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</si>
  <si>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</si>
  <si>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</si>
  <si>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</si>
  <si>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</si>
  <si>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</si>
  <si>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</si>
  <si>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</si>
  <si>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</si>
  <si>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BRB</t>
  </si>
  <si>
    <t>BRN</t>
  </si>
  <si>
    <t>BTN</t>
  </si>
  <si>
    <t>BWA</t>
  </si>
  <si>
    <t>CAF</t>
  </si>
  <si>
    <t>CEB</t>
  </si>
  <si>
    <t>CHE</t>
  </si>
  <si>
    <t>CHI</t>
  </si>
  <si>
    <t>CHL</t>
  </si>
  <si>
    <t>CIV</t>
  </si>
  <si>
    <t>CMR</t>
  </si>
  <si>
    <t>COD</t>
  </si>
  <si>
    <t>COG</t>
  </si>
  <si>
    <t>COL</t>
  </si>
  <si>
    <t>COM</t>
  </si>
  <si>
    <t>CPV</t>
  </si>
  <si>
    <t>CRI</t>
  </si>
  <si>
    <t>CSS</t>
  </si>
  <si>
    <t>CUB</t>
  </si>
  <si>
    <t>CUW</t>
  </si>
  <si>
    <t>CYM</t>
  </si>
  <si>
    <t>CYP</t>
  </si>
  <si>
    <t>CZE</t>
  </si>
  <si>
    <t>DEU</t>
  </si>
  <si>
    <t>DJI</t>
  </si>
  <si>
    <t>DMA</t>
  </si>
  <si>
    <t>DOM</t>
  </si>
  <si>
    <t>DZA</t>
  </si>
  <si>
    <t>EAR</t>
  </si>
  <si>
    <t>EAS</t>
  </si>
  <si>
    <t>ECA</t>
  </si>
  <si>
    <t>ECS</t>
  </si>
  <si>
    <t>ECU</t>
  </si>
  <si>
    <t>EGY</t>
  </si>
  <si>
    <t>EMU</t>
  </si>
  <si>
    <t>ERI</t>
  </si>
  <si>
    <t>ESP</t>
  </si>
  <si>
    <t>ETH</t>
  </si>
  <si>
    <t>EUU</t>
  </si>
  <si>
    <t>FCS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</si>
  <si>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</si>
  <si>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</si>
  <si>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</si>
  <si>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</si>
  <si>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</si>
  <si>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</si>
  <si>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</si>
  <si>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</si>
  <si>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</si>
  <si>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</si>
  <si>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</si>
  <si>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</si>
  <si>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GRD</t>
  </si>
  <si>
    <t>GRL</t>
  </si>
  <si>
    <t>GTM</t>
  </si>
  <si>
    <t>GUM</t>
  </si>
  <si>
    <t>GUY</t>
  </si>
  <si>
    <t>HKG</t>
  </si>
  <si>
    <t>HND</t>
  </si>
  <si>
    <t>HPC</t>
  </si>
  <si>
    <t>HRV</t>
  </si>
  <si>
    <t>HTI</t>
  </si>
  <si>
    <t>HUN</t>
  </si>
  <si>
    <t>IDA</t>
  </si>
  <si>
    <t>IDB</t>
  </si>
  <si>
    <t>IDN</t>
  </si>
  <si>
    <t>IDX</t>
  </si>
  <si>
    <t>IMN</t>
  </si>
  <si>
    <t>IND</t>
  </si>
  <si>
    <t>IRL</t>
  </si>
  <si>
    <t>IRN</t>
  </si>
  <si>
    <t>IRQ</t>
  </si>
  <si>
    <t>ISR</t>
  </si>
  <si>
    <t>ITA</t>
  </si>
  <si>
    <t>JAM</t>
  </si>
  <si>
    <t>JOR</t>
  </si>
  <si>
    <t>JPN</t>
  </si>
  <si>
    <t>KAZ</t>
  </si>
  <si>
    <t>KEN</t>
  </si>
  <si>
    <t>KGZ</t>
  </si>
  <si>
    <t>KIR</t>
  </si>
  <si>
    <t>KNA</t>
  </si>
  <si>
    <t>LAC</t>
  </si>
  <si>
    <t>LAO</t>
  </si>
  <si>
    <t>LBR</t>
  </si>
  <si>
    <t>LBY</t>
  </si>
  <si>
    <t>LCA</t>
  </si>
  <si>
    <t>LCN</t>
  </si>
  <si>
    <t>LDC</t>
  </si>
  <si>
    <t>LIC</t>
  </si>
  <si>
    <t>LIE</t>
  </si>
  <si>
    <t>LKA</t>
  </si>
  <si>
    <t>LMC</t>
  </si>
  <si>
    <t>LSO</t>
  </si>
  <si>
    <t>LTU</t>
  </si>
  <si>
    <t>LUX</t>
  </si>
  <si>
    <t>LVA</t>
  </si>
  <si>
    <t>MAF</t>
  </si>
  <si>
    <t>MAR</t>
  </si>
  <si>
    <t>MCO</t>
  </si>
  <si>
    <t>MDA</t>
  </si>
  <si>
    <t>MDG</t>
  </si>
  <si>
    <t>MDV</t>
  </si>
  <si>
    <t>MEA</t>
  </si>
  <si>
    <t>MEX</t>
  </si>
  <si>
    <t>MHL</t>
  </si>
  <si>
    <t>MKD</t>
  </si>
  <si>
    <t>MLI</t>
  </si>
  <si>
    <t>MLT</t>
  </si>
  <si>
    <t>MMR</t>
  </si>
  <si>
    <t>MNA</t>
  </si>
  <si>
    <t>MNE</t>
  </si>
  <si>
    <t>MNG</t>
  </si>
  <si>
    <t>MNP</t>
  </si>
  <si>
    <t>MOZ</t>
  </si>
  <si>
    <t>MRT</t>
  </si>
  <si>
    <t>MWI</t>
  </si>
  <si>
    <t>NAC</t>
  </si>
  <si>
    <t>NAM</t>
  </si>
  <si>
    <t>NCL</t>
  </si>
  <si>
    <t>NER</t>
  </si>
  <si>
    <t>NGA</t>
  </si>
  <si>
    <t>NIC</t>
  </si>
  <si>
    <t>NLD</t>
  </si>
  <si>
    <t>NOR</t>
  </si>
  <si>
    <t>NRU</t>
  </si>
  <si>
    <t>NZL</t>
  </si>
  <si>
    <t>OMN</t>
  </si>
  <si>
    <t>OSS</t>
  </si>
  <si>
    <t>PAK</t>
  </si>
  <si>
    <t>PAN</t>
  </si>
  <si>
    <t>PER</t>
  </si>
  <si>
    <t>PHL</t>
  </si>
  <si>
    <t>PLW</t>
  </si>
  <si>
    <t>PNG</t>
  </si>
  <si>
    <t>POL</t>
  </si>
  <si>
    <t>PRE</t>
  </si>
  <si>
    <t>PRI</t>
  </si>
  <si>
    <t>PRK</t>
  </si>
  <si>
    <t>PRT</t>
  </si>
  <si>
    <t>PRY</t>
  </si>
  <si>
    <t>PSE</t>
  </si>
  <si>
    <t>PSS</t>
  </si>
  <si>
    <t>PYF</t>
  </si>
  <si>
    <t>ROU</t>
  </si>
  <si>
    <t>RUS</t>
  </si>
  <si>
    <t>RWA</t>
  </si>
  <si>
    <t>SAS</t>
  </si>
  <si>
    <t>SAU</t>
  </si>
  <si>
    <t>SDN</t>
  </si>
  <si>
    <t>SEN</t>
  </si>
  <si>
    <t>SLB</t>
  </si>
  <si>
    <t>SLE</t>
  </si>
  <si>
    <t>SLV</t>
  </si>
  <si>
    <t>SMR</t>
  </si>
  <si>
    <t>SOM</t>
  </si>
  <si>
    <t>SRB</t>
  </si>
  <si>
    <t>SSA</t>
  </si>
  <si>
    <t>SSD</t>
  </si>
  <si>
    <t>SSF</t>
  </si>
  <si>
    <t>SST</t>
  </si>
  <si>
    <t>STP</t>
  </si>
  <si>
    <t>SUR</t>
  </si>
  <si>
    <t>SVK</t>
  </si>
  <si>
    <t>SVN</t>
  </si>
  <si>
    <t>SWZ</t>
  </si>
  <si>
    <t>SXM</t>
  </si>
  <si>
    <t>SYC</t>
  </si>
  <si>
    <t>SYR</t>
  </si>
  <si>
    <t>TCA</t>
  </si>
  <si>
    <t>TCD</t>
  </si>
  <si>
    <t>TEC</t>
  </si>
  <si>
    <t>TGO</t>
  </si>
  <si>
    <t>THA</t>
  </si>
  <si>
    <t>TJK</t>
  </si>
  <si>
    <t>TKM</t>
  </si>
  <si>
    <t>TLA</t>
  </si>
  <si>
    <t>TLS</t>
  </si>
  <si>
    <t>TMN</t>
  </si>
  <si>
    <t>TON</t>
  </si>
  <si>
    <t>TSA</t>
  </si>
  <si>
    <t>TSS</t>
  </si>
  <si>
    <t>TTO</t>
  </si>
  <si>
    <t>TUN</t>
  </si>
  <si>
    <t>TUR</t>
  </si>
  <si>
    <t>TUV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</si>
  <si>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</si>
  <si>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</si>
  <si>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</si>
  <si>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</si>
  <si>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</si>
  <si>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</si>
  <si>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</si>
  <si>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</si>
  <si>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</si>
  <si>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</si>
  <si>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VUT</t>
  </si>
  <si>
    <t>WLD</t>
  </si>
  <si>
    <t>WSM</t>
  </si>
  <si>
    <t>XKX</t>
  </si>
  <si>
    <t>YEM</t>
  </si>
  <si>
    <t>ZMB</t>
  </si>
  <si>
    <t>ZWE</t>
  </si>
  <si>
    <t>Aruba</t>
  </si>
  <si>
    <t>Africa Eastern and Southern</t>
  </si>
  <si>
    <t>Afghanistan</t>
  </si>
  <si>
    <t>Africa Western and Central</t>
  </si>
  <si>
    <t>Angola</t>
  </si>
  <si>
    <t>Albania</t>
  </si>
  <si>
    <t>Andorra</t>
  </si>
  <si>
    <t>Arab World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</si>
  <si>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</si>
  <si>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</si>
  <si>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</si>
  <si>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</si>
  <si>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</si>
  <si>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</si>
  <si>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</si>
  <si>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</si>
  <si>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</si>
  <si>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</si>
  <si>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</si>
  <si>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</si>
  <si>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</si>
  <si>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</si>
  <si>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</si>
  <si>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</si>
  <si>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</si>
  <si>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</si>
  <si>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</si>
  <si>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</si>
  <si>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</si>
  <si>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</si>
  <si>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</si>
  <si>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</si>
  <si>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</si>
  <si>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</si>
  <si>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</si>
  <si>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</si>
  <si>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Central Europe and the Baltics</t>
  </si>
  <si>
    <t>Switzerland</t>
  </si>
  <si>
    <t>Channel Islands</t>
  </si>
  <si>
    <t>Chile</t>
  </si>
  <si>
    <t>China</t>
  </si>
  <si>
    <t>Côte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</si>
  <si>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</si>
  <si>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</si>
  <si>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</si>
  <si>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</si>
  <si>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</si>
  <si>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</si>
  <si>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</si>
  <si>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Caribbean small states</t>
  </si>
  <si>
    <t>Cuba</t>
  </si>
  <si>
    <t>Curaçao</t>
  </si>
  <si>
    <t>Cayman Islands</t>
  </si>
  <si>
    <t>Cyprus</t>
  </si>
  <si>
    <t>Czechia</t>
  </si>
  <si>
    <t>Germany</t>
  </si>
  <si>
    <t>Djibouti</t>
  </si>
  <si>
    <t>Dominica</t>
  </si>
  <si>
    <t>Denmark</t>
  </si>
  <si>
    <t>Dominican Republic</t>
  </si>
  <si>
    <t>Algeria</t>
  </si>
  <si>
    <t>East Asia &amp; Pacific (excluding high income)</t>
  </si>
  <si>
    <t>Early-demographic dividend</t>
  </si>
  <si>
    <t>East Asia &amp; Pacific</t>
  </si>
  <si>
    <t>Europe &amp; Central Asia (excluding high income)</t>
  </si>
  <si>
    <t>Europe &amp; Central Asia</t>
  </si>
  <si>
    <t>Ecuador</t>
  </si>
  <si>
    <t>Egypt, Arab Rep.</t>
  </si>
  <si>
    <t>Euro area</t>
  </si>
  <si>
    <t>Eritrea</t>
  </si>
  <si>
    <t>Spain</t>
  </si>
  <si>
    <t>Estonia</t>
  </si>
  <si>
    <t>Ethiopia</t>
  </si>
  <si>
    <t>European Union</t>
  </si>
  <si>
    <t>Fragile and conflict affected situations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</si>
  <si>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</si>
  <si>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</si>
  <si>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</si>
  <si>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</si>
  <si>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</si>
  <si>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</si>
  <si>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</si>
  <si>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</si>
  <si>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</si>
  <si>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</si>
  <si>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</si>
  <si>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</si>
  <si>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</si>
  <si>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</si>
  <si>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</si>
  <si>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</si>
  <si>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</si>
  <si>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</si>
  <si>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</si>
  <si>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</si>
  <si>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High income</t>
  </si>
  <si>
    <t>Hong Kong SAR, China</t>
  </si>
  <si>
    <t>Honduras</t>
  </si>
  <si>
    <t>Heavily indebted poor countries (HIPC)</t>
  </si>
  <si>
    <t>Croatia</t>
  </si>
  <si>
    <t>Haiti</t>
  </si>
  <si>
    <t>Hungary</t>
  </si>
  <si>
    <t>IBRD only</t>
  </si>
  <si>
    <t>IDA &amp; IBRD total</t>
  </si>
  <si>
    <t>IDA total</t>
  </si>
  <si>
    <t>IDA blend</t>
  </si>
  <si>
    <t>Indonesia</t>
  </si>
  <si>
    <t>IDA only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</si>
  <si>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</si>
  <si>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</si>
  <si>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</si>
  <si>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</si>
  <si>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</si>
  <si>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</si>
  <si>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</si>
  <si>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</si>
  <si>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</si>
  <si>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</si>
  <si>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</si>
  <si>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</si>
  <si>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</si>
  <si>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</si>
  <si>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</si>
  <si>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</si>
  <si>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</si>
  <si>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</si>
  <si>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</si>
  <si>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Latin America &amp; Caribbean (excluding high income)</t>
  </si>
  <si>
    <t>Lao PDR</t>
  </si>
  <si>
    <t>Lebanon</t>
  </si>
  <si>
    <t>Liberia</t>
  </si>
  <si>
    <t>Libya</t>
  </si>
  <si>
    <t>St. Lucia</t>
  </si>
  <si>
    <t>Latin America &amp; Caribbean</t>
  </si>
  <si>
    <t>Least developed countries: UN classification</t>
  </si>
  <si>
    <t>Low income</t>
  </si>
  <si>
    <t>Liechtenstein</t>
  </si>
  <si>
    <t>Sri Lanka</t>
  </si>
  <si>
    <t>Lower middle income</t>
  </si>
  <si>
    <t>Low &amp; middle income</t>
  </si>
  <si>
    <t>Lesotho</t>
  </si>
  <si>
    <t>Late-demographic dividend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</si>
  <si>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</si>
  <si>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</si>
  <si>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</si>
  <si>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</si>
  <si>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</si>
  <si>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</si>
  <si>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</si>
  <si>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</si>
  <si>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</si>
  <si>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</si>
  <si>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Middle East, North Africa, Afghanistan &amp; Pakistan</t>
  </si>
  <si>
    <t>Mexico</t>
  </si>
  <si>
    <t>Marshall Islands</t>
  </si>
  <si>
    <t>Middle income</t>
  </si>
  <si>
    <t>North Macedonia</t>
  </si>
  <si>
    <t>Mali</t>
  </si>
  <si>
    <t>Malta</t>
  </si>
  <si>
    <t>Myanmar</t>
  </si>
  <si>
    <t>Middle East, North Africa, Afghanistan &amp; Pakistan (excluding high income)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</si>
  <si>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</si>
  <si>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</si>
  <si>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</si>
  <si>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</si>
  <si>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</si>
  <si>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</si>
  <si>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</si>
  <si>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</si>
  <si>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North America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</si>
  <si>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</si>
  <si>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</si>
  <si>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</si>
  <si>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</si>
  <si>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</si>
  <si>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</si>
  <si>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</si>
  <si>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</si>
  <si>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</si>
  <si>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</si>
  <si>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OECD members</t>
  </si>
  <si>
    <t>Oman</t>
  </si>
  <si>
    <t>Other small states</t>
  </si>
  <si>
    <t>Pakistan</t>
  </si>
  <si>
    <t>Panama</t>
  </si>
  <si>
    <t>Peru</t>
  </si>
  <si>
    <t>Philippines</t>
  </si>
  <si>
    <t>Palau</t>
  </si>
  <si>
    <t>Papua New Guinea</t>
  </si>
  <si>
    <t>Poland</t>
  </si>
  <si>
    <t>Pre-demographic dividend</t>
  </si>
  <si>
    <t>Puerto Rico (US)</t>
  </si>
  <si>
    <t>Korea, Dem. People's Rep.</t>
  </si>
  <si>
    <t>Portugal</t>
  </si>
  <si>
    <t>Paraguay</t>
  </si>
  <si>
    <t>West Bank and Gaza</t>
  </si>
  <si>
    <t>Pacific island small states</t>
  </si>
  <si>
    <t>Post-demographic dividend</t>
  </si>
  <si>
    <t>French Polynesia</t>
  </si>
  <si>
    <t>Qatar</t>
  </si>
  <si>
    <t>Romania</t>
  </si>
  <si>
    <t>Russian Federation</t>
  </si>
  <si>
    <t>Rwanda</t>
  </si>
  <si>
    <t>South Asia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</si>
  <si>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</si>
  <si>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</si>
  <si>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</si>
  <si>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</si>
  <si>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</si>
  <si>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</si>
  <si>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</si>
  <si>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</si>
  <si>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Somalia, Fed. Rep.</t>
  </si>
  <si>
    <t>Serbia</t>
  </si>
  <si>
    <t>Sub-Saharan Africa (excluding high income)</t>
  </si>
  <si>
    <t>South Sudan</t>
  </si>
  <si>
    <t>Sub-Saharan Africa</t>
  </si>
  <si>
    <t>Small states</t>
  </si>
  <si>
    <t>São Tomé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</si>
  <si>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</si>
  <si>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</si>
  <si>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</si>
  <si>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</si>
  <si>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</si>
  <si>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</si>
  <si>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</si>
  <si>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</si>
  <si>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</si>
  <si>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</si>
  <si>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East Asia &amp; Pacific (IDA &amp; IBRD)</t>
  </si>
  <si>
    <t>Europe &amp; Central Asia (IDA &amp; IBRD)</t>
  </si>
  <si>
    <t>Togo</t>
  </si>
  <si>
    <t>Thailand</t>
  </si>
  <si>
    <t>Tajikistan</t>
  </si>
  <si>
    <t>Turkmenistan</t>
  </si>
  <si>
    <t>Latin America &amp; Caribbean (IDA &amp; IBRD)</t>
  </si>
  <si>
    <t>Timor-Leste</t>
  </si>
  <si>
    <t>Middle East, North Africa, Afghanistan &amp; Pakistan (IDA &amp; IBRD)</t>
  </si>
  <si>
    <t>Tonga</t>
  </si>
  <si>
    <t>South Asia (IDA &amp; IBRD)</t>
  </si>
  <si>
    <t>Sub-Saharan Africa (IDA &amp; IBRD)</t>
  </si>
  <si>
    <t>Trinidad and Tobago</t>
  </si>
  <si>
    <t>Tunisia</t>
  </si>
  <si>
    <t>Türkiye</t>
  </si>
  <si>
    <t>Tuvalu</t>
  </si>
  <si>
    <t>Tanzania</t>
  </si>
  <si>
    <t>Uganda</t>
  </si>
  <si>
    <t>Ukraine</t>
  </si>
  <si>
    <t>Upper middle income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</si>
  <si>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</si>
  <si>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</si>
  <si>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</si>
  <si>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</si>
  <si>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</si>
  <si>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</si>
  <si>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(US)</t>
  </si>
  <si>
    <t>Viet Nam</t>
  </si>
  <si>
    <t>Vanuatu</t>
  </si>
  <si>
    <t>World</t>
  </si>
  <si>
    <t>Samoa</t>
  </si>
  <si>
    <t>Kosovo</t>
  </si>
  <si>
    <t>Yemen, Rep.</t>
  </si>
  <si>
    <t>South Africa</t>
  </si>
  <si>
    <t>Zambia</t>
  </si>
  <si>
    <t>Zimbabwe</t>
  </si>
  <si>
    <t xml:space="preserve">East Asia &amp; Pacific </t>
  </si>
  <si>
    <t>Korea</t>
  </si>
  <si>
    <t>Vietnam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</si>
</sst>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6C0000"/>
      <color rgb="FF860000"/>
      <color rgb="FF7E6000"/>
      <color rgb="FFA20000"/>
      <color rgb="FFA27B00"/>
      <color rgb="FFD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masis MT Pro Black" panose="02040A04050005020304" pitchFamily="18" charset="0"/>
                <a:ea typeface="+mn-ea"/>
                <a:cs typeface="+mn-cs"/>
              </a:defRPr>
            </a:pPr>
            <a:r>
              <a:rPr lang="en-US" sz="1800" b="0" i="0" u="none" strike="noStrike" baseline="0">
                <a:solidFill>
                  <a:srgbClr val="6C0000"/>
                </a:solidFill>
                <a:latin typeface="Amasis MT Pro Black" panose="02040A04050005020304" pitchFamily="18" charset="0"/>
              </a:rPr>
              <a:t>Pace of credit expansion matters</a:t>
            </a:r>
            <a:r>
              <a:rPr lang="en-US" sz="1800" b="0" i="0" u="none" strike="noStrike" baseline="0">
                <a:latin typeface="Amasis MT Pro Black" panose="02040A04050005020304" pitchFamily="18" charset="0"/>
              </a:rPr>
              <a:t>: Same financial Intermediation level can be achieved in 5 or 25 years</a:t>
            </a:r>
            <a:endParaRPr lang="en-US" sz="1800">
              <a:latin typeface="Amasis MT Pro Black" panose="02040A04050005020304" pitchFamily="18" charset="0"/>
            </a:endParaRPr>
          </a:p>
        </c:rich>
      </c:tx>
      <c:layout>
        <c:manualLayout>
          <c:xMode val="edge"/>
          <c:yMode val="edge"/>
          <c:x val="0.10043568139860176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masis MT Pro Black" panose="02040A0405000502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390421626129079"/>
          <c:y val="0.21168914579319206"/>
          <c:w val="0.83983496854059603"/>
          <c:h val="0.67476360252656276"/>
        </c:manualLayout>
      </c:layout>
      <c:lineChart>
        <c:grouping val="standard"/>
        <c:varyColors val="0"/>
        <c:ser>
          <c:idx val="0"/>
          <c:order val="0"/>
          <c:tx>
            <c:strRef>
              <c:f>Final!$D$5</c:f>
              <c:strCache>
                <c:ptCount val="1"/>
                <c:pt idx="0">
                  <c:v>Estonia</c:v>
                </c:pt>
              </c:strCache>
            </c:strRef>
          </c:tx>
          <c:spPr>
            <a:ln w="19050" cap="rnd">
              <a:solidFill>
                <a:srgbClr val="A20000">
                  <a:alpha val="25000"/>
                </a:srgbClr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circle"/>
              <c:size val="5"/>
              <c:spPr>
                <a:solidFill>
                  <a:schemeClr val="bg1"/>
                </a:solidFill>
                <a:ln w="9525">
                  <a:solidFill>
                    <a:srgbClr val="A2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2-30EE-4A56-B4E1-29F6C06E4547}"/>
              </c:ext>
            </c:extLst>
          </c:dPt>
          <c:dLbls>
            <c:dLbl>
              <c:idx val="4"/>
              <c:layout>
                <c:manualLayout>
                  <c:x val="-0.12600860827017987"/>
                  <c:y val="-8.3417507248451303E-3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30EE-4A56-B4E1-29F6C06E454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86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Final!$E$4:$AK$4</c:f>
              <c:numCache>
                <c:formatCode>General</c:formatCode>
                <c:ptCount val="3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</c:numCache>
            </c:numRef>
          </c:cat>
          <c:val>
            <c:numRef>
              <c:f>Final!$E$5:$AK$5</c:f>
              <c:numCache>
                <c:formatCode>General</c:formatCode>
                <c:ptCount val="33"/>
                <c:pt idx="0">
                  <c:v>0.56573908711533671</c:v>
                </c:pt>
                <c:pt idx="1">
                  <c:v>0.76224565278598466</c:v>
                </c:pt>
                <c:pt idx="2">
                  <c:v>0.83747613043474811</c:v>
                </c:pt>
                <c:pt idx="3">
                  <c:v>0.89668872626034357</c:v>
                </c:pt>
                <c:pt idx="4">
                  <c:v>1.0138303498408141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EE-4A56-B4E1-29F6C06E4547}"/>
            </c:ext>
          </c:extLst>
        </c:ser>
        <c:ser>
          <c:idx val="1"/>
          <c:order val="1"/>
          <c:tx>
            <c:strRef>
              <c:f>Final!$D$6</c:f>
              <c:strCache>
                <c:ptCount val="1"/>
                <c:pt idx="0">
                  <c:v>Cambodia</c:v>
                </c:pt>
              </c:strCache>
            </c:strRef>
          </c:tx>
          <c:spPr>
            <a:ln w="19050" cap="rnd">
              <a:solidFill>
                <a:srgbClr val="A20000">
                  <a:alpha val="25000"/>
                </a:srgbClr>
              </a:solidFill>
              <a:round/>
            </a:ln>
            <a:effectLst/>
          </c:spPr>
          <c:marker>
            <c:symbol val="none"/>
          </c:marker>
          <c:dPt>
            <c:idx val="5"/>
            <c:marker>
              <c:symbol val="circle"/>
              <c:size val="5"/>
              <c:spPr>
                <a:solidFill>
                  <a:schemeClr val="bg1"/>
                </a:solidFill>
                <a:ln w="9525">
                  <a:solidFill>
                    <a:srgbClr val="A2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0EE-4A56-B4E1-29F6C06E4547}"/>
              </c:ext>
            </c:extLst>
          </c:dPt>
          <c:dLbls>
            <c:dLbl>
              <c:idx val="5"/>
              <c:layout>
                <c:manualLayout>
                  <c:x val="-5.6988828744773193E-3"/>
                  <c:y val="8.3417507248451025E-3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30EE-4A56-B4E1-29F6C06E454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86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Final!$E$4:$AK$4</c:f>
              <c:numCache>
                <c:formatCode>General</c:formatCode>
                <c:ptCount val="3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</c:numCache>
            </c:numRef>
          </c:cat>
          <c:val>
            <c:numRef>
              <c:f>Final!$E$6:$AK$6</c:f>
              <c:numCache>
                <c:formatCode>General</c:formatCode>
                <c:ptCount val="33"/>
                <c:pt idx="0">
                  <c:v>0.55489547672368578</c:v>
                </c:pt>
                <c:pt idx="1">
                  <c:v>0.6156088863701592</c:v>
                </c:pt>
                <c:pt idx="2">
                  <c:v>0.6546272053235479</c:v>
                </c:pt>
                <c:pt idx="3">
                  <c:v>0.73816426973472704</c:v>
                </c:pt>
                <c:pt idx="4">
                  <c:v>0.84323673857974912</c:v>
                </c:pt>
                <c:pt idx="5">
                  <c:v>1.037327699600874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EE-4A56-B4E1-29F6C06E4547}"/>
            </c:ext>
          </c:extLst>
        </c:ser>
        <c:ser>
          <c:idx val="2"/>
          <c:order val="2"/>
          <c:tx>
            <c:strRef>
              <c:f>Final!$D$7</c:f>
              <c:strCache>
                <c:ptCount val="1"/>
                <c:pt idx="0">
                  <c:v>Malaysia</c:v>
                </c:pt>
              </c:strCache>
            </c:strRef>
          </c:tx>
          <c:spPr>
            <a:ln w="19050" cap="rnd">
              <a:solidFill>
                <a:srgbClr val="A20000">
                  <a:alpha val="25000"/>
                </a:srgbClr>
              </a:solidFill>
              <a:round/>
            </a:ln>
            <a:effectLst/>
          </c:spPr>
          <c:marker>
            <c:symbol val="none"/>
          </c:marker>
          <c:dPt>
            <c:idx val="5"/>
            <c:marker>
              <c:symbol val="circle"/>
              <c:size val="5"/>
              <c:spPr>
                <a:solidFill>
                  <a:schemeClr val="bg1"/>
                </a:solidFill>
                <a:ln w="9525">
                  <a:solidFill>
                    <a:srgbClr val="A2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4-30EE-4A56-B4E1-29F6C06E4547}"/>
              </c:ext>
            </c:extLst>
          </c:dPt>
          <c:dLbls>
            <c:dLbl>
              <c:idx val="5"/>
              <c:layout>
                <c:manualLayout>
                  <c:x val="-1.6494361280583052E-2"/>
                  <c:y val="-7.1700639502051383E-2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30EE-4A56-B4E1-29F6C06E454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86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Final!$E$4:$AK$4</c:f>
              <c:numCache>
                <c:formatCode>General</c:formatCode>
                <c:ptCount val="3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</c:numCache>
            </c:numRef>
          </c:cat>
          <c:val>
            <c:numRef>
              <c:f>Final!$E$7:$AK$7</c:f>
              <c:numCache>
                <c:formatCode>General</c:formatCode>
                <c:ptCount val="33"/>
                <c:pt idx="0">
                  <c:v>0.57761442729939427</c:v>
                </c:pt>
                <c:pt idx="1">
                  <c:v>0.62732928184612691</c:v>
                </c:pt>
                <c:pt idx="2">
                  <c:v>0.69926892283232067</c:v>
                </c:pt>
                <c:pt idx="3">
                  <c:v>0.74890131992457587</c:v>
                </c:pt>
                <c:pt idx="4">
                  <c:v>0.88174648250935828</c:v>
                </c:pt>
                <c:pt idx="5">
                  <c:v>1.014660446406124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0EE-4A56-B4E1-29F6C06E4547}"/>
            </c:ext>
          </c:extLst>
        </c:ser>
        <c:ser>
          <c:idx val="3"/>
          <c:order val="3"/>
          <c:tx>
            <c:strRef>
              <c:f>Final!$D$8</c:f>
              <c:strCache>
                <c:ptCount val="1"/>
                <c:pt idx="0">
                  <c:v>Vietnam</c:v>
                </c:pt>
              </c:strCache>
            </c:strRef>
          </c:tx>
          <c:spPr>
            <a:ln w="19050" cap="rnd">
              <a:solidFill>
                <a:srgbClr val="A20000">
                  <a:alpha val="25000"/>
                </a:srgbClr>
              </a:solidFill>
              <a:round/>
            </a:ln>
            <a:effectLst/>
          </c:spPr>
          <c:marker>
            <c:symbol val="none"/>
          </c:marker>
          <c:dPt>
            <c:idx val="5"/>
            <c:marker>
              <c:symbol val="circle"/>
              <c:size val="5"/>
              <c:spPr>
                <a:solidFill>
                  <a:schemeClr val="bg1"/>
                </a:solidFill>
                <a:ln w="9525">
                  <a:solidFill>
                    <a:srgbClr val="A2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3-30EE-4A56-B4E1-29F6C06E4547}"/>
              </c:ext>
            </c:extLst>
          </c:dPt>
          <c:dLbls>
            <c:dLbl>
              <c:idx val="5"/>
              <c:layout>
                <c:manualLayout>
                  <c:x val="-0.15441663966745384"/>
                  <c:y val="-3.4026113490840365E-2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30EE-4A56-B4E1-29F6C06E454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86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Final!$E$4:$AK$4</c:f>
              <c:numCache>
                <c:formatCode>General</c:formatCode>
                <c:ptCount val="3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</c:numCache>
            </c:numRef>
          </c:cat>
          <c:val>
            <c:numRef>
              <c:f>Final!$E$8:$AK$8</c:f>
              <c:numCache>
                <c:formatCode>General</c:formatCode>
                <c:ptCount val="33"/>
                <c:pt idx="0">
                  <c:v>0.58722430788458657</c:v>
                </c:pt>
                <c:pt idx="1">
                  <c:v>0.60466787782507891</c:v>
                </c:pt>
                <c:pt idx="2">
                  <c:v>0.65359542373759494</c:v>
                </c:pt>
                <c:pt idx="3">
                  <c:v>0.85639687383950036</c:v>
                </c:pt>
                <c:pt idx="4">
                  <c:v>0.82872770965200881</c:v>
                </c:pt>
                <c:pt idx="5">
                  <c:v>1.0332235376964529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0EE-4A56-B4E1-29F6C06E4547}"/>
            </c:ext>
          </c:extLst>
        </c:ser>
        <c:ser>
          <c:idx val="4"/>
          <c:order val="4"/>
          <c:tx>
            <c:strRef>
              <c:f>Final!$D$9</c:f>
              <c:strCache>
                <c:ptCount val="1"/>
                <c:pt idx="0">
                  <c:v>Iceland</c:v>
                </c:pt>
              </c:strCache>
            </c:strRef>
          </c:tx>
          <c:spPr>
            <a:ln w="19050" cap="rnd">
              <a:solidFill>
                <a:srgbClr val="A20000">
                  <a:alpha val="25000"/>
                </a:srgbClr>
              </a:solidFill>
              <a:round/>
            </a:ln>
            <a:effectLst/>
          </c:spPr>
          <c:marker>
            <c:symbol val="none"/>
          </c:marker>
          <c:dPt>
            <c:idx val="5"/>
            <c:marker>
              <c:symbol val="circle"/>
              <c:size val="5"/>
              <c:spPr>
                <a:solidFill>
                  <a:schemeClr val="bg1"/>
                </a:solidFill>
                <a:ln w="9525">
                  <a:solidFill>
                    <a:srgbClr val="A2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0EE-4A56-B4E1-29F6C06E4547}"/>
              </c:ext>
            </c:extLst>
          </c:dPt>
          <c:dLbls>
            <c:dLbl>
              <c:idx val="5"/>
              <c:layout>
                <c:manualLayout>
                  <c:x val="-0.1685886697304699"/>
                  <c:y val="1.9721295086401133E-2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30EE-4A56-B4E1-29F6C06E454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86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Final!$E$4:$AK$4</c:f>
              <c:numCache>
                <c:formatCode>General</c:formatCode>
                <c:ptCount val="3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</c:numCache>
            </c:numRef>
          </c:cat>
          <c:val>
            <c:numRef>
              <c:f>Final!$E$9:$AK$9</c:f>
              <c:numCache>
                <c:formatCode>General</c:formatCode>
                <c:ptCount val="33"/>
                <c:pt idx="0">
                  <c:v>0.63789220262941726</c:v>
                </c:pt>
                <c:pt idx="1">
                  <c:v>0.61405869678169789</c:v>
                </c:pt>
                <c:pt idx="2">
                  <c:v>0.69988926929005313</c:v>
                </c:pt>
                <c:pt idx="3">
                  <c:v>0.92357949748270007</c:v>
                </c:pt>
                <c:pt idx="4">
                  <c:v>0.94088912065708352</c:v>
                </c:pt>
                <c:pt idx="5">
                  <c:v>0.99511216813059533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0EE-4A56-B4E1-29F6C06E4547}"/>
            </c:ext>
          </c:extLst>
        </c:ser>
        <c:ser>
          <c:idx val="5"/>
          <c:order val="5"/>
          <c:tx>
            <c:strRef>
              <c:f>Final!$D$10</c:f>
              <c:strCache>
                <c:ptCount val="1"/>
                <c:pt idx="0">
                  <c:v>Korea</c:v>
                </c:pt>
              </c:strCache>
            </c:strRef>
          </c:tx>
          <c:spPr>
            <a:ln w="19050" cap="rnd">
              <a:solidFill>
                <a:srgbClr val="A20000">
                  <a:alpha val="25000"/>
                </a:srgbClr>
              </a:solidFill>
              <a:round/>
            </a:ln>
            <a:effectLst/>
          </c:spPr>
          <c:marker>
            <c:symbol val="none"/>
          </c:marker>
          <c:dLbls>
            <c:dLbl>
              <c:idx val="5"/>
              <c:layout>
                <c:manualLayout>
                  <c:x val="-8.2901545384897087E-3"/>
                  <c:y val="4.0037202084955065E-2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30EE-4A56-B4E1-29F6C06E454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86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Final!$E$4:$AK$4</c:f>
              <c:numCache>
                <c:formatCode>General</c:formatCode>
                <c:ptCount val="3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</c:numCache>
            </c:numRef>
          </c:cat>
          <c:val>
            <c:numRef>
              <c:f>Final!$E$10:$AK$10</c:f>
              <c:numCache>
                <c:formatCode>General</c:formatCode>
                <c:ptCount val="33"/>
                <c:pt idx="0">
                  <c:v>0.50146287165566039</c:v>
                </c:pt>
                <c:pt idx="1">
                  <c:v>0.54801784828600075</c:v>
                </c:pt>
                <c:pt idx="2">
                  <c:v>0.59608694098226811</c:v>
                </c:pt>
                <c:pt idx="3">
                  <c:v>0.64488125567533716</c:v>
                </c:pt>
                <c:pt idx="4">
                  <c:v>0.69186672361226909</c:v>
                </c:pt>
                <c:pt idx="5">
                  <c:v>0.99608241094077699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0EE-4A56-B4E1-29F6C06E4547}"/>
            </c:ext>
          </c:extLst>
        </c:ser>
        <c:ser>
          <c:idx val="13"/>
          <c:order val="13"/>
          <c:tx>
            <c:strRef>
              <c:f>Final!$D$18</c:f>
              <c:strCache>
                <c:ptCount val="1"/>
                <c:pt idx="0">
                  <c:v>Australia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circle"/>
              <c:size val="5"/>
              <c:spPr>
                <a:solidFill>
                  <a:schemeClr val="bg1"/>
                </a:solidFill>
                <a:ln w="9525">
                  <a:solidFill>
                    <a:schemeClr val="accent3">
                      <a:lumMod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0EE-4A56-B4E1-29F6C06E4547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bg1"/>
                </a:solidFill>
                <a:ln w="9525">
                  <a:solidFill>
                    <a:schemeClr val="accent3">
                      <a:lumMod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0EE-4A56-B4E1-29F6C06E4547}"/>
              </c:ext>
            </c:extLst>
          </c:dPt>
          <c:dLbls>
            <c:dLbl>
              <c:idx val="15"/>
              <c:layout>
                <c:manualLayout>
                  <c:x val="-4.9439475778784651E-2"/>
                  <c:y val="-5.8553030978903992E-2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30EE-4A56-B4E1-29F6C06E454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Final!$E$4:$AK$4</c:f>
              <c:numCache>
                <c:formatCode>General</c:formatCode>
                <c:ptCount val="3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</c:numCache>
            </c:numRef>
          </c:cat>
          <c:val>
            <c:numRef>
              <c:f>Final!$E$18:$AK$18</c:f>
              <c:numCache>
                <c:formatCode>General</c:formatCode>
                <c:ptCount val="33"/>
                <c:pt idx="0">
                  <c:v>0.59177452902588967</c:v>
                </c:pt>
                <c:pt idx="1">
                  <c:v>0.60475371445633586</c:v>
                </c:pt>
                <c:pt idx="2">
                  <c:v>0.60033374128984784</c:v>
                </c:pt>
                <c:pt idx="3">
                  <c:v>0.61773309112356234</c:v>
                </c:pt>
                <c:pt idx="4">
                  <c:v>0.63192071898715962</c:v>
                </c:pt>
                <c:pt idx="5">
                  <c:v>0.66673423984454916</c:v>
                </c:pt>
                <c:pt idx="6">
                  <c:v>0.69667949673680374</c:v>
                </c:pt>
                <c:pt idx="7">
                  <c:v>0.7138637677028693</c:v>
                </c:pt>
                <c:pt idx="8">
                  <c:v>0.75201469832278989</c:v>
                </c:pt>
                <c:pt idx="9">
                  <c:v>0.78974896120815985</c:v>
                </c:pt>
                <c:pt idx="10">
                  <c:v>0.83904699406180905</c:v>
                </c:pt>
                <c:pt idx="11">
                  <c:v>0.87381032864698427</c:v>
                </c:pt>
                <c:pt idx="12">
                  <c:v>0.88189283033562649</c:v>
                </c:pt>
                <c:pt idx="13">
                  <c:v>0.91068540133500075</c:v>
                </c:pt>
                <c:pt idx="14">
                  <c:v>0.98970070138355193</c:v>
                </c:pt>
                <c:pt idx="15">
                  <c:v>1.0244769376009939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30EE-4A56-B4E1-29F6C06E4547}"/>
            </c:ext>
          </c:extLst>
        </c:ser>
        <c:ser>
          <c:idx val="14"/>
          <c:order val="14"/>
          <c:tx>
            <c:strRef>
              <c:f>Final!$D$19</c:f>
              <c:strCache>
                <c:ptCount val="1"/>
                <c:pt idx="0">
                  <c:v>Mauritius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5"/>
            <c:marker>
              <c:symbol val="circle"/>
              <c:size val="5"/>
              <c:spPr>
                <a:solidFill>
                  <a:schemeClr val="bg1"/>
                </a:solidFill>
                <a:ln w="9525">
                  <a:solidFill>
                    <a:schemeClr val="accent3">
                      <a:lumMod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0EE-4A56-B4E1-29F6C06E4547}"/>
              </c:ext>
            </c:extLst>
          </c:dPt>
          <c:dLbls>
            <c:dLbl>
              <c:idx val="15"/>
              <c:layout>
                <c:manualLayout>
                  <c:x val="-6.0783905711417695E-2"/>
                  <c:y val="-9.4491977564817059E-2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30EE-4A56-B4E1-29F6C06E454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Final!$E$4:$AK$4</c:f>
              <c:numCache>
                <c:formatCode>General</c:formatCode>
                <c:ptCount val="3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</c:numCache>
            </c:numRef>
          </c:cat>
          <c:val>
            <c:numRef>
              <c:f>Final!$E$19:$AK$19</c:f>
              <c:numCache>
                <c:formatCode>General</c:formatCode>
                <c:ptCount val="33"/>
                <c:pt idx="0">
                  <c:v>0.55659382992380857</c:v>
                </c:pt>
                <c:pt idx="1">
                  <c:v>0.55687331898231629</c:v>
                </c:pt>
                <c:pt idx="2">
                  <c:v>0.55751062977970578</c:v>
                </c:pt>
                <c:pt idx="3">
                  <c:v>0.56097409173755386</c:v>
                </c:pt>
                <c:pt idx="4">
                  <c:v>0.56928999286637272</c:v>
                </c:pt>
                <c:pt idx="5">
                  <c:v>0.69705877143237638</c:v>
                </c:pt>
                <c:pt idx="6">
                  <c:v>0.69965794528589309</c:v>
                </c:pt>
                <c:pt idx="7">
                  <c:v>0.71930314255040018</c:v>
                </c:pt>
                <c:pt idx="8">
                  <c:v>0.67639908709286278</c:v>
                </c:pt>
                <c:pt idx="9">
                  <c:v>0.70643395873589587</c:v>
                </c:pt>
                <c:pt idx="10">
                  <c:v>0.80688165398608436</c:v>
                </c:pt>
                <c:pt idx="11">
                  <c:v>0.78904357086893606</c:v>
                </c:pt>
                <c:pt idx="12">
                  <c:v>0.84168399282852324</c:v>
                </c:pt>
                <c:pt idx="13">
                  <c:v>0.88087151069715997</c:v>
                </c:pt>
                <c:pt idx="14">
                  <c:v>0.97480597013077641</c:v>
                </c:pt>
                <c:pt idx="15">
                  <c:v>1.0369949226718429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0EE-4A56-B4E1-29F6C06E4547}"/>
            </c:ext>
          </c:extLst>
        </c:ser>
        <c:ser>
          <c:idx val="16"/>
          <c:order val="16"/>
          <c:tx>
            <c:strRef>
              <c:f>Final!$D$21</c:f>
              <c:strCache>
                <c:ptCount val="1"/>
                <c:pt idx="0">
                  <c:v>East Asia &amp; Pacific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6"/>
            <c:marker>
              <c:symbol val="circle"/>
              <c:size val="5"/>
              <c:spPr>
                <a:solidFill>
                  <a:schemeClr val="bg1"/>
                </a:solidFill>
                <a:ln w="9525">
                  <a:solidFill>
                    <a:schemeClr val="accent3">
                      <a:lumMod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0EE-4A56-B4E1-29F6C06E4547}"/>
              </c:ext>
            </c:extLst>
          </c:dPt>
          <c:dLbls>
            <c:dLbl>
              <c:idx val="16"/>
              <c:layout>
                <c:manualLayout>
                  <c:x val="3.5762696100468852E-2"/>
                  <c:y val="-5.575651889799539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3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30EE-4A56-B4E1-29F6C06E454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Final!$E$4:$AK$4</c:f>
              <c:numCache>
                <c:formatCode>General</c:formatCode>
                <c:ptCount val="3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</c:numCache>
            </c:numRef>
          </c:cat>
          <c:val>
            <c:numRef>
              <c:f>Final!$E$21:$AK$21</c:f>
              <c:numCache>
                <c:formatCode>General</c:formatCode>
                <c:ptCount val="33"/>
                <c:pt idx="0">
                  <c:v>0.51678538962209042</c:v>
                </c:pt>
                <c:pt idx="1">
                  <c:v>0.52794989787292479</c:v>
                </c:pt>
                <c:pt idx="2">
                  <c:v>0.54854407626611468</c:v>
                </c:pt>
                <c:pt idx="3">
                  <c:v>0.57594762443559522</c:v>
                </c:pt>
                <c:pt idx="4">
                  <c:v>0.63144843341891499</c:v>
                </c:pt>
                <c:pt idx="5">
                  <c:v>0.71586650872068813</c:v>
                </c:pt>
                <c:pt idx="6">
                  <c:v>0.68116983183740698</c:v>
                </c:pt>
                <c:pt idx="7">
                  <c:v>0.7131707190872052</c:v>
                </c:pt>
                <c:pt idx="8">
                  <c:v>0.76246487090792936</c:v>
                </c:pt>
                <c:pt idx="9">
                  <c:v>0.78085553591809864</c:v>
                </c:pt>
                <c:pt idx="10">
                  <c:v>0.79124761232883134</c:v>
                </c:pt>
                <c:pt idx="11">
                  <c:v>0.86967129499983242</c:v>
                </c:pt>
                <c:pt idx="12">
                  <c:v>0.80738785714192896</c:v>
                </c:pt>
                <c:pt idx="13">
                  <c:v>0.80558228883886074</c:v>
                </c:pt>
                <c:pt idx="14">
                  <c:v>0.87240326094136988</c:v>
                </c:pt>
                <c:pt idx="15">
                  <c:v>0.95054519756745437</c:v>
                </c:pt>
                <c:pt idx="16">
                  <c:v>1.0089026494511499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30EE-4A56-B4E1-29F6C06E4547}"/>
            </c:ext>
          </c:extLst>
        </c:ser>
        <c:ser>
          <c:idx val="20"/>
          <c:order val="20"/>
          <c:tx>
            <c:strRef>
              <c:f>Final!$D$25</c:f>
              <c:strCache>
                <c:ptCount val="1"/>
                <c:pt idx="0">
                  <c:v>Upper middle income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7"/>
            <c:marker>
              <c:symbol val="circle"/>
              <c:size val="5"/>
              <c:spPr>
                <a:solidFill>
                  <a:schemeClr val="bg1"/>
                </a:solidFill>
                <a:ln w="9525">
                  <a:solidFill>
                    <a:schemeClr val="accent3">
                      <a:lumMod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0EE-4A56-B4E1-29F6C06E4547}"/>
              </c:ext>
            </c:extLst>
          </c:dPt>
          <c:dLbls>
            <c:dLbl>
              <c:idx val="17"/>
              <c:layout>
                <c:manualLayout>
                  <c:x val="2.8024796143425831E-2"/>
                  <c:y val="-0.12798750702953221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30EE-4A56-B4E1-29F6C06E454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Final!$E$4:$AK$4</c:f>
              <c:numCache>
                <c:formatCode>General</c:formatCode>
                <c:ptCount val="3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</c:numCache>
            </c:numRef>
          </c:cat>
          <c:val>
            <c:numRef>
              <c:f>Final!$E$25:$AK$25</c:f>
              <c:numCache>
                <c:formatCode>General</c:formatCode>
                <c:ptCount val="33"/>
                <c:pt idx="0">
                  <c:v>0.56202578271268755</c:v>
                </c:pt>
                <c:pt idx="1">
                  <c:v>0.55488991126323084</c:v>
                </c:pt>
                <c:pt idx="2">
                  <c:v>0.59843381598314938</c:v>
                </c:pt>
                <c:pt idx="3">
                  <c:v>0.59570334962391835</c:v>
                </c:pt>
                <c:pt idx="4">
                  <c:v>0.59487407149644189</c:v>
                </c:pt>
                <c:pt idx="5">
                  <c:v>0.6533361082814112</c:v>
                </c:pt>
                <c:pt idx="6">
                  <c:v>0.70889256247801624</c:v>
                </c:pt>
                <c:pt idx="7">
                  <c:v>0.68423853115828626</c:v>
                </c:pt>
                <c:pt idx="8">
                  <c:v>0.6600428405848412</c:v>
                </c:pt>
                <c:pt idx="9">
                  <c:v>0.67361436932553009</c:v>
                </c:pt>
                <c:pt idx="10">
                  <c:v>0.69720803297313916</c:v>
                </c:pt>
                <c:pt idx="11">
                  <c:v>0.66822755998971783</c:v>
                </c:pt>
                <c:pt idx="12">
                  <c:v>0.78947004699794177</c:v>
                </c:pt>
                <c:pt idx="13">
                  <c:v>0.80563038800551323</c:v>
                </c:pt>
                <c:pt idx="14">
                  <c:v>0.81570778763429852</c:v>
                </c:pt>
                <c:pt idx="15">
                  <c:v>0.872211456379822</c:v>
                </c:pt>
                <c:pt idx="16">
                  <c:v>0.92936106122246542</c:v>
                </c:pt>
                <c:pt idx="17">
                  <c:v>0.9864467668340271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30EE-4A56-B4E1-29F6C06E4547}"/>
            </c:ext>
          </c:extLst>
        </c:ser>
        <c:ser>
          <c:idx val="21"/>
          <c:order val="21"/>
          <c:tx>
            <c:strRef>
              <c:f>Final!$D$26</c:f>
              <c:strCache>
                <c:ptCount val="1"/>
                <c:pt idx="0">
                  <c:v>Finland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9"/>
            <c:marker>
              <c:symbol val="circle"/>
              <c:size val="5"/>
              <c:spPr>
                <a:solidFill>
                  <a:schemeClr val="bg1"/>
                </a:solidFill>
                <a:ln w="9525">
                  <a:solidFill>
                    <a:schemeClr val="accent3">
                      <a:lumMod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0EE-4A56-B4E1-29F6C06E4547}"/>
              </c:ext>
            </c:extLst>
          </c:dPt>
          <c:dLbls>
            <c:dLbl>
              <c:idx val="19"/>
              <c:layout>
                <c:manualLayout>
                  <c:x val="-1.1979633491131203E-2"/>
                  <c:y val="-1.195814930220197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3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30EE-4A56-B4E1-29F6C06E454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Final!$E$4:$AK$4</c:f>
              <c:numCache>
                <c:formatCode>General</c:formatCode>
                <c:ptCount val="3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</c:numCache>
            </c:numRef>
          </c:cat>
          <c:val>
            <c:numRef>
              <c:f>Final!$E$26:$AK$26</c:f>
              <c:numCache>
                <c:formatCode>General</c:formatCode>
                <c:ptCount val="33"/>
                <c:pt idx="0">
                  <c:v>0.52654566183474927</c:v>
                </c:pt>
                <c:pt idx="1">
                  <c:v>0.55436378252554908</c:v>
                </c:pt>
                <c:pt idx="2">
                  <c:v>0.60284482644976733</c:v>
                </c:pt>
                <c:pt idx="3">
                  <c:v>0.6373274705337626</c:v>
                </c:pt>
                <c:pt idx="4">
                  <c:v>0.69254733824833314</c:v>
                </c:pt>
                <c:pt idx="5">
                  <c:v>0.73413899028699359</c:v>
                </c:pt>
                <c:pt idx="6">
                  <c:v>0.76282884009857854</c:v>
                </c:pt>
                <c:pt idx="7">
                  <c:v>0.80105326558663181</c:v>
                </c:pt>
                <c:pt idx="8">
                  <c:v>0.86308636201061983</c:v>
                </c:pt>
                <c:pt idx="9">
                  <c:v>0.8813321498615444</c:v>
                </c:pt>
                <c:pt idx="10">
                  <c:v>0.89533783612860807</c:v>
                </c:pt>
                <c:pt idx="11">
                  <c:v>0.92075477347812618</c:v>
                </c:pt>
                <c:pt idx="12">
                  <c:v>0.93313414939777983</c:v>
                </c:pt>
                <c:pt idx="13">
                  <c:v>0.9336620436715164</c:v>
                </c:pt>
                <c:pt idx="14">
                  <c:v>0.9498506127730838</c:v>
                </c:pt>
                <c:pt idx="15">
                  <c:v>0.94784370262890727</c:v>
                </c:pt>
                <c:pt idx="16">
                  <c:v>0.94031757051436093</c:v>
                </c:pt>
                <c:pt idx="17">
                  <c:v>0.948815247622949</c:v>
                </c:pt>
                <c:pt idx="18">
                  <c:v>0.95919385539036883</c:v>
                </c:pt>
                <c:pt idx="19">
                  <c:v>1.0173825125747189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30EE-4A56-B4E1-29F6C06E4547}"/>
            </c:ext>
          </c:extLst>
        </c:ser>
        <c:ser>
          <c:idx val="24"/>
          <c:order val="24"/>
          <c:tx>
            <c:strRef>
              <c:f>Final!$D$29</c:f>
              <c:strCache>
                <c:ptCount val="1"/>
                <c:pt idx="0">
                  <c:v>China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6"/>
            <c:marker>
              <c:symbol val="circle"/>
              <c:size val="5"/>
              <c:spPr>
                <a:solidFill>
                  <a:schemeClr val="bg1"/>
                </a:solidFill>
                <a:ln w="9525">
                  <a:solidFill>
                    <a:schemeClr val="accent3">
                      <a:lumMod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0EE-4A56-B4E1-29F6C06E4547}"/>
              </c:ext>
            </c:extLst>
          </c:dPt>
          <c:dLbls>
            <c:dLbl>
              <c:idx val="16"/>
              <c:layout>
                <c:manualLayout>
                  <c:x val="-1.1589682271821469E-2"/>
                  <c:y val="-6.208915930208662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3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30EE-4A56-B4E1-29F6C06E454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Final!$E$4:$AK$4</c:f>
              <c:numCache>
                <c:formatCode>General</c:formatCode>
                <c:ptCount val="3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</c:numCache>
            </c:numRef>
          </c:cat>
          <c:val>
            <c:numRef>
              <c:f>Final!$E$29:$AK$29</c:f>
              <c:numCache>
                <c:formatCode>General</c:formatCode>
                <c:ptCount val="33"/>
                <c:pt idx="0">
                  <c:v>0.51093567610739077</c:v>
                </c:pt>
                <c:pt idx="1">
                  <c:v>0.50206252713851496</c:v>
                </c:pt>
                <c:pt idx="2">
                  <c:v>0.49659135177249708</c:v>
                </c:pt>
                <c:pt idx="3">
                  <c:v>0.52533890375786063</c:v>
                </c:pt>
                <c:pt idx="4">
                  <c:v>0.55912391044957221</c:v>
                </c:pt>
                <c:pt idx="5">
                  <c:v>0.56696262723827917</c:v>
                </c:pt>
                <c:pt idx="6">
                  <c:v>0.56876916701201818</c:v>
                </c:pt>
                <c:pt idx="7">
                  <c:v>0.60605561954911968</c:v>
                </c:pt>
                <c:pt idx="8">
                  <c:v>0.66069175835627858</c:v>
                </c:pt>
                <c:pt idx="9">
                  <c:v>0.75835000769585958</c:v>
                </c:pt>
                <c:pt idx="10">
                  <c:v>0.77899492460704645</c:v>
                </c:pt>
                <c:pt idx="11">
                  <c:v>0.73857060185185186</c:v>
                </c:pt>
                <c:pt idx="12">
                  <c:v>0.76997675769901219</c:v>
                </c:pt>
                <c:pt idx="13">
                  <c:v>0.86033020264839022</c:v>
                </c:pt>
                <c:pt idx="14">
                  <c:v>0.88101074265208945</c:v>
                </c:pt>
                <c:pt idx="15">
                  <c:v>0.86053063497413507</c:v>
                </c:pt>
                <c:pt idx="16">
                  <c:v>0.9650639173415746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30EE-4A56-B4E1-29F6C06E4547}"/>
            </c:ext>
          </c:extLst>
        </c:ser>
        <c:ser>
          <c:idx val="27"/>
          <c:order val="27"/>
          <c:tx>
            <c:strRef>
              <c:f>Final!$D$32</c:f>
              <c:strCache>
                <c:ptCount val="1"/>
                <c:pt idx="0">
                  <c:v>Singapore</c:v>
                </c:pt>
              </c:strCache>
            </c:strRef>
          </c:tx>
          <c:spPr>
            <a:ln w="19050" cap="rnd">
              <a:solidFill>
                <a:srgbClr val="A27B00">
                  <a:alpha val="25000"/>
                </a:srgbClr>
              </a:solidFill>
              <a:round/>
            </a:ln>
            <a:effectLst/>
          </c:spPr>
          <c:marker>
            <c:symbol val="none"/>
          </c:marker>
          <c:dPt>
            <c:idx val="26"/>
            <c:marker>
              <c:symbol val="circle"/>
              <c:size val="5"/>
              <c:spPr>
                <a:solidFill>
                  <a:schemeClr val="bg1"/>
                </a:solidFill>
                <a:ln w="9525">
                  <a:solidFill>
                    <a:srgbClr val="A27B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0EE-4A56-B4E1-29F6C06E4547}"/>
              </c:ext>
            </c:extLst>
          </c:dPt>
          <c:dLbls>
            <c:dLbl>
              <c:idx val="26"/>
              <c:layout>
                <c:manualLayout>
                  <c:x val="2.1872735542704753E-2"/>
                  <c:y val="-1.4369081687106549E-2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30EE-4A56-B4E1-29F6C06E454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7E6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Final!$E$4:$AK$4</c:f>
              <c:numCache>
                <c:formatCode>General</c:formatCode>
                <c:ptCount val="3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</c:numCache>
            </c:numRef>
          </c:cat>
          <c:val>
            <c:numRef>
              <c:f>Final!$E$32:$AK$32</c:f>
              <c:numCache>
                <c:formatCode>General</c:formatCode>
                <c:ptCount val="33"/>
                <c:pt idx="0">
                  <c:v>0.5025113522758754</c:v>
                </c:pt>
                <c:pt idx="1">
                  <c:v>0.59082688829889574</c:v>
                </c:pt>
                <c:pt idx="2">
                  <c:v>0.53314525305110905</c:v>
                </c:pt>
                <c:pt idx="3">
                  <c:v>0.56006759562085262</c:v>
                </c:pt>
                <c:pt idx="4">
                  <c:v>0.57340336190463492</c:v>
                </c:pt>
                <c:pt idx="5">
                  <c:v>0.58172100873223587</c:v>
                </c:pt>
                <c:pt idx="6">
                  <c:v>0.60193920621244013</c:v>
                </c:pt>
                <c:pt idx="7">
                  <c:v>0.64589521881444767</c:v>
                </c:pt>
                <c:pt idx="8">
                  <c:v>0.68907134242508594</c:v>
                </c:pt>
                <c:pt idx="9">
                  <c:v>0.75342646283605708</c:v>
                </c:pt>
                <c:pt idx="10">
                  <c:v>0.80120772662531048</c:v>
                </c:pt>
                <c:pt idx="11">
                  <c:v>0.85608807609438231</c:v>
                </c:pt>
                <c:pt idx="12">
                  <c:v>0.85328681249161287</c:v>
                </c:pt>
                <c:pt idx="13">
                  <c:v>0.87605352545591586</c:v>
                </c:pt>
                <c:pt idx="14">
                  <c:v>0.84350018462953047</c:v>
                </c:pt>
                <c:pt idx="15">
                  <c:v>0.80576076576032662</c:v>
                </c:pt>
                <c:pt idx="16">
                  <c:v>0.76352693033988794</c:v>
                </c:pt>
                <c:pt idx="17">
                  <c:v>0.7954035737295807</c:v>
                </c:pt>
                <c:pt idx="18">
                  <c:v>0.79164674723338579</c:v>
                </c:pt>
                <c:pt idx="19">
                  <c:v>0.79871102125210713</c:v>
                </c:pt>
                <c:pt idx="20">
                  <c:v>0.81085536774524802</c:v>
                </c:pt>
                <c:pt idx="21">
                  <c:v>0.80971701263542517</c:v>
                </c:pt>
                <c:pt idx="22">
                  <c:v>0.8119024053932552</c:v>
                </c:pt>
                <c:pt idx="23">
                  <c:v>0.88293496958541196</c:v>
                </c:pt>
                <c:pt idx="24">
                  <c:v>0.93741806429945518</c:v>
                </c:pt>
                <c:pt idx="25">
                  <c:v>0.96470304928415951</c:v>
                </c:pt>
                <c:pt idx="26">
                  <c:v>1.0793107365817991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30EE-4A56-B4E1-29F6C06E4547}"/>
            </c:ext>
          </c:extLst>
        </c:ser>
        <c:ser>
          <c:idx val="29"/>
          <c:order val="29"/>
          <c:tx>
            <c:strRef>
              <c:f>Final!$D$34</c:f>
              <c:strCache>
                <c:ptCount val="1"/>
                <c:pt idx="0">
                  <c:v>Middle income</c:v>
                </c:pt>
              </c:strCache>
            </c:strRef>
          </c:tx>
          <c:spPr>
            <a:ln w="19050" cap="rnd">
              <a:solidFill>
                <a:srgbClr val="A27B00">
                  <a:alpha val="25000"/>
                </a:srgbClr>
              </a:solidFill>
              <a:round/>
            </a:ln>
            <a:effectLst/>
          </c:spPr>
          <c:marker>
            <c:symbol val="none"/>
          </c:marker>
          <c:dPt>
            <c:idx val="27"/>
            <c:marker>
              <c:symbol val="circle"/>
              <c:size val="5"/>
              <c:spPr>
                <a:solidFill>
                  <a:schemeClr val="bg1"/>
                </a:solidFill>
                <a:ln w="9525">
                  <a:solidFill>
                    <a:srgbClr val="A27B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0EE-4A56-B4E1-29F6C06E4547}"/>
              </c:ext>
            </c:extLst>
          </c:dPt>
          <c:dLbls>
            <c:dLbl>
              <c:idx val="27"/>
              <c:layout>
                <c:manualLayout>
                  <c:x val="8.6209027059445213E-3"/>
                  <c:y val="1.073667613824279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7E6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2989279589922392"/>
                      <c:h val="7.76832451027494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31-30EE-4A56-B4E1-29F6C06E454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7E6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Final!$E$4:$AK$4</c:f>
              <c:numCache>
                <c:formatCode>General</c:formatCode>
                <c:ptCount val="3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</c:numCache>
            </c:numRef>
          </c:cat>
          <c:val>
            <c:numRef>
              <c:f>Final!$E$34:$AK$34</c:f>
              <c:numCache>
                <c:formatCode>General</c:formatCode>
                <c:ptCount val="33"/>
                <c:pt idx="0">
                  <c:v>0.51409686953438372</c:v>
                </c:pt>
                <c:pt idx="1">
                  <c:v>0.6323991334734389</c:v>
                </c:pt>
                <c:pt idx="2">
                  <c:v>0.50057895560290788</c:v>
                </c:pt>
                <c:pt idx="3">
                  <c:v>0.52215794301262175</c:v>
                </c:pt>
                <c:pt idx="4">
                  <c:v>0.47911084926459568</c:v>
                </c:pt>
                <c:pt idx="5">
                  <c:v>0.49160776571045189</c:v>
                </c:pt>
                <c:pt idx="6">
                  <c:v>0.48312986862666413</c:v>
                </c:pt>
                <c:pt idx="7">
                  <c:v>0.47639723059300948</c:v>
                </c:pt>
                <c:pt idx="8">
                  <c:v>0.52275602602408322</c:v>
                </c:pt>
                <c:pt idx="9">
                  <c:v>0.52331731609077659</c:v>
                </c:pt>
                <c:pt idx="10">
                  <c:v>0.52437273926450745</c:v>
                </c:pt>
                <c:pt idx="11">
                  <c:v>0.56775773442700628</c:v>
                </c:pt>
                <c:pt idx="12">
                  <c:v>0.60565089119022286</c:v>
                </c:pt>
                <c:pt idx="13">
                  <c:v>0.59486949244209297</c:v>
                </c:pt>
                <c:pt idx="14">
                  <c:v>0.582139101698536</c:v>
                </c:pt>
                <c:pt idx="15">
                  <c:v>0.59683555573894653</c:v>
                </c:pt>
                <c:pt idx="16">
                  <c:v>0.62338695614680661</c:v>
                </c:pt>
                <c:pt idx="17">
                  <c:v>0.61355647683085457</c:v>
                </c:pt>
                <c:pt idx="18">
                  <c:v>0.71087541822623013</c:v>
                </c:pt>
                <c:pt idx="19">
                  <c:v>0.72676913860466064</c:v>
                </c:pt>
                <c:pt idx="20">
                  <c:v>0.73873602743830924</c:v>
                </c:pt>
                <c:pt idx="21">
                  <c:v>0.78437293201907987</c:v>
                </c:pt>
                <c:pt idx="22">
                  <c:v>0.8290334166505402</c:v>
                </c:pt>
                <c:pt idx="23">
                  <c:v>0.87317407511624734</c:v>
                </c:pt>
                <c:pt idx="24">
                  <c:v>0.95746460094217301</c:v>
                </c:pt>
                <c:pt idx="25">
                  <c:v>0.97404489181664333</c:v>
                </c:pt>
                <c:pt idx="26">
                  <c:v>0.97574842720119037</c:v>
                </c:pt>
                <c:pt idx="27">
                  <c:v>1.0320185889313731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30EE-4A56-B4E1-29F6C06E45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9445007"/>
        <c:axId val="1039447407"/>
        <c:extLst>
          <c:ext xmlns:c15="http://schemas.microsoft.com/office/drawing/2012/chart" uri="{02D57815-91ED-43cb-92C2-25804820EDAC}">
            <c15:filteredLineSeries>
              <c15:ser>
                <c:idx val="6"/>
                <c:order val="6"/>
                <c:tx>
                  <c:strRef>
                    <c:extLst>
                      <c:ext uri="{02D57815-91ED-43cb-92C2-25804820EDAC}">
                        <c15:formulaRef>
                          <c15:sqref>Final!$D$11</c15:sqref>
                        </c15:formulaRef>
                      </c:ext>
                    </c:extLst>
                    <c:strCache>
                      <c:ptCount val="1"/>
                      <c:pt idx="0">
                        <c:v>OECD members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Final!$E$4:$AK$4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Final!$E$11:$AK$11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0.59576268576955893</c:v>
                      </c:pt>
                      <c:pt idx="1">
                        <c:v>0.62730371332676249</c:v>
                      </c:pt>
                      <c:pt idx="2">
                        <c:v>0.77800863943345222</c:v>
                      </c:pt>
                      <c:pt idx="3">
                        <c:v>0.81537962241239514</c:v>
                      </c:pt>
                      <c:pt idx="4">
                        <c:v>0.87101995973744484</c:v>
                      </c:pt>
                      <c:pt idx="5">
                        <c:v>0.89234076647779215</c:v>
                      </c:pt>
                      <c:pt idx="6">
                        <c:v>0.9342102948846589</c:v>
                      </c:pt>
                      <c:pt idx="7">
                        <c:v>0.95369281205308876</c:v>
                      </c:pt>
                      <c:pt idx="8">
                        <c:v>1.008717288764053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30EE-4A56-B4E1-29F6C06E4547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Final!$D$12</c15:sqref>
                        </c15:formulaRef>
                      </c:ext>
                    </c:extLst>
                    <c:strCache>
                      <c:ptCount val="1"/>
                      <c:pt idx="0">
                        <c:v>Greece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Final!$E$4:$AK$4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Final!$E$12:$AK$12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0.51696591000447067</c:v>
                      </c:pt>
                      <c:pt idx="1">
                        <c:v>0.54871832741520321</c:v>
                      </c:pt>
                      <c:pt idx="2">
                        <c:v>0.58731960937714545</c:v>
                      </c:pt>
                      <c:pt idx="3">
                        <c:v>0.63877542809832655</c:v>
                      </c:pt>
                      <c:pt idx="4">
                        <c:v>0.7365739571979808</c:v>
                      </c:pt>
                      <c:pt idx="5">
                        <c:v>0.77545437417718599</c:v>
                      </c:pt>
                      <c:pt idx="6">
                        <c:v>0.85798423742853747</c:v>
                      </c:pt>
                      <c:pt idx="7">
                        <c:v>0.90507313655528487</c:v>
                      </c:pt>
                      <c:pt idx="8">
                        <c:v>0.89224425156619969</c:v>
                      </c:pt>
                      <c:pt idx="9">
                        <c:v>1.128142773368531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30EE-4A56-B4E1-29F6C06E4547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Final!$D$13</c15:sqref>
                        </c15:formulaRef>
                      </c:ext>
                    </c:extLst>
                    <c:strCache>
                      <c:ptCount val="1"/>
                      <c:pt idx="0">
                        <c:v>Brazil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Final!$E$4:$AK$4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Final!$E$13:$AK$13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0.52595593886279046</c:v>
                      </c:pt>
                      <c:pt idx="1">
                        <c:v>0.54468794976741619</c:v>
                      </c:pt>
                      <c:pt idx="2">
                        <c:v>0.54392780964823195</c:v>
                      </c:pt>
                      <c:pt idx="3">
                        <c:v>0.50425107350479936</c:v>
                      </c:pt>
                      <c:pt idx="4">
                        <c:v>0.51012910632825104</c:v>
                      </c:pt>
                      <c:pt idx="5">
                        <c:v>0.42053738281601949</c:v>
                      </c:pt>
                      <c:pt idx="6">
                        <c:v>0.44691433818360049</c:v>
                      </c:pt>
                      <c:pt idx="7">
                        <c:v>0.45652572338875991</c:v>
                      </c:pt>
                      <c:pt idx="8">
                        <c:v>0.50476140831232341</c:v>
                      </c:pt>
                      <c:pt idx="9">
                        <c:v>0.50393230092926522</c:v>
                      </c:pt>
                      <c:pt idx="10">
                        <c:v>0.44245833386532002</c:v>
                      </c:pt>
                      <c:pt idx="11">
                        <c:v>1.053910076460898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8-30EE-4A56-B4E1-29F6C06E4547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Final!$D$14</c15:sqref>
                        </c15:formulaRef>
                      </c:ext>
                    </c:extLst>
                    <c:strCache>
                      <c:ptCount val="1"/>
                      <c:pt idx="0">
                        <c:v>High income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Final!$E$4:$AK$4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Final!$E$14:$AK$14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0.59566198142174664</c:v>
                      </c:pt>
                      <c:pt idx="1">
                        <c:v>0.62709508746303966</c:v>
                      </c:pt>
                      <c:pt idx="2">
                        <c:v>0.63352524775379104</c:v>
                      </c:pt>
                      <c:pt idx="3">
                        <c:v>0.77510483742144232</c:v>
                      </c:pt>
                      <c:pt idx="4">
                        <c:v>0.81130872964307021</c:v>
                      </c:pt>
                      <c:pt idx="5">
                        <c:v>0.86629680130370912</c:v>
                      </c:pt>
                      <c:pt idx="6">
                        <c:v>0.83777606154099815</c:v>
                      </c:pt>
                      <c:pt idx="7">
                        <c:v>0.87168824468182027</c:v>
                      </c:pt>
                      <c:pt idx="8">
                        <c:v>0.91741683932445905</c:v>
                      </c:pt>
                      <c:pt idx="9">
                        <c:v>0.93856909918730169</c:v>
                      </c:pt>
                      <c:pt idx="10">
                        <c:v>0.9952545276758693</c:v>
                      </c:pt>
                      <c:pt idx="11">
                        <c:v>1.096207220762961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9-30EE-4A56-B4E1-29F6C06E4547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Final!$D$15</c15:sqref>
                        </c15:formulaRef>
                      </c:ext>
                    </c:extLst>
                    <c:strCache>
                      <c:ptCount val="1"/>
                      <c:pt idx="0">
                        <c:v>Post-demographic dividend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Final!$E$4:$AK$4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Final!$E$15:$AK$15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0.59997438025034966</c:v>
                      </c:pt>
                      <c:pt idx="1">
                        <c:v>0.63230519626563808</c:v>
                      </c:pt>
                      <c:pt idx="2">
                        <c:v>0.63948316286123463</c:v>
                      </c:pt>
                      <c:pt idx="3">
                        <c:v>0.78240109272677627</c:v>
                      </c:pt>
                      <c:pt idx="4">
                        <c:v>0.81981257406337493</c:v>
                      </c:pt>
                      <c:pt idx="5">
                        <c:v>0.87614425837583088</c:v>
                      </c:pt>
                      <c:pt idx="6">
                        <c:v>0.88095128126505617</c:v>
                      </c:pt>
                      <c:pt idx="7">
                        <c:v>0.86892037170214709</c:v>
                      </c:pt>
                      <c:pt idx="8">
                        <c:v>0.89744542144719675</c:v>
                      </c:pt>
                      <c:pt idx="9">
                        <c:v>0.93932748681830769</c:v>
                      </c:pt>
                      <c:pt idx="10">
                        <c:v>0.95785020082724759</c:v>
                      </c:pt>
                      <c:pt idx="11">
                        <c:v>1.013588987299924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A-30EE-4A56-B4E1-29F6C06E4547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Final!$D$16</c15:sqref>
                        </c15:formulaRef>
                      </c:ext>
                    </c:extLst>
                    <c:strCache>
                      <c:ptCount val="1"/>
                      <c:pt idx="0">
                        <c:v>Nepal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Final!$E$4:$AK$4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Final!$E$16:$AK$16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0.51652645529271457</c:v>
                      </c:pt>
                      <c:pt idx="1">
                        <c:v>0.59178454631817357</c:v>
                      </c:pt>
                      <c:pt idx="2">
                        <c:v>0.54589987785603056</c:v>
                      </c:pt>
                      <c:pt idx="3">
                        <c:v>0.46424653123095272</c:v>
                      </c:pt>
                      <c:pt idx="4">
                        <c:v>0.48754349653414081</c:v>
                      </c:pt>
                      <c:pt idx="5">
                        <c:v>0.50462270838435108</c:v>
                      </c:pt>
                      <c:pt idx="6">
                        <c:v>0.54467047603509933</c:v>
                      </c:pt>
                      <c:pt idx="7">
                        <c:v>0.56908274065370446</c:v>
                      </c:pt>
                      <c:pt idx="8">
                        <c:v>0.69840800112115853</c:v>
                      </c:pt>
                      <c:pt idx="9">
                        <c:v>0.69189124341353225</c:v>
                      </c:pt>
                      <c:pt idx="10">
                        <c:v>0.7632460800765769</c:v>
                      </c:pt>
                      <c:pt idx="11">
                        <c:v>0.78945910898405369</c:v>
                      </c:pt>
                      <c:pt idx="12">
                        <c:v>0.88440039466326781</c:v>
                      </c:pt>
                      <c:pt idx="13">
                        <c:v>1.036513513754014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B-30EE-4A56-B4E1-29F6C06E4547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Final!$D$17</c15:sqref>
                        </c15:formulaRef>
                      </c:ext>
                    </c:extLst>
                    <c:strCache>
                      <c:ptCount val="1"/>
                      <c:pt idx="0">
                        <c:v>Denmark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Final!$E$4:$AK$4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Final!$E$17:$AK$17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0.54842236468279304</c:v>
                      </c:pt>
                      <c:pt idx="1">
                        <c:v>0.49720322566294961</c:v>
                      </c:pt>
                      <c:pt idx="2">
                        <c:v>0.47898526667497487</c:v>
                      </c:pt>
                      <c:pt idx="3">
                        <c:v>0.5079713501902775</c:v>
                      </c:pt>
                      <c:pt idx="4">
                        <c:v>0.50341352898475522</c:v>
                      </c:pt>
                      <c:pt idx="5">
                        <c:v>0.41882101859116561</c:v>
                      </c:pt>
                      <c:pt idx="6">
                        <c:v>0.39331497710369562</c:v>
                      </c:pt>
                      <c:pt idx="7">
                        <c:v>0.34261036144715917</c:v>
                      </c:pt>
                      <c:pt idx="8">
                        <c:v>0.30291791768202841</c:v>
                      </c:pt>
                      <c:pt idx="9">
                        <c:v>0.30371747113179259</c:v>
                      </c:pt>
                      <c:pt idx="10">
                        <c:v>0.31016248317994238</c:v>
                      </c:pt>
                      <c:pt idx="11">
                        <c:v>0.31566000619137358</c:v>
                      </c:pt>
                      <c:pt idx="12">
                        <c:v>0.34342844281039192</c:v>
                      </c:pt>
                      <c:pt idx="13">
                        <c:v>0.34095558531002518</c:v>
                      </c:pt>
                      <c:pt idx="14">
                        <c:v>1.320609356210855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C-30EE-4A56-B4E1-29F6C06E4547}"/>
                  </c:ext>
                </c:extLst>
              </c15:ser>
            </c15:filteredLineSeries>
            <c15:filteredLineSeries>
              <c15:ser>
                <c:idx val="15"/>
                <c:order val="1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Final!$D$20</c15:sqref>
                        </c15:formulaRef>
                      </c:ext>
                    </c:extLst>
                    <c:strCache>
                      <c:ptCount val="1"/>
                      <c:pt idx="0">
                        <c:v>East Asia &amp; Pacific 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Final!$E$4:$AK$4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Final!$E$20:$AK$20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0.5167853896220902</c:v>
                      </c:pt>
                      <c:pt idx="1">
                        <c:v>0.52794989787292479</c:v>
                      </c:pt>
                      <c:pt idx="2">
                        <c:v>0.54854407626611446</c:v>
                      </c:pt>
                      <c:pt idx="3">
                        <c:v>0.575947624435595</c:v>
                      </c:pt>
                      <c:pt idx="4">
                        <c:v>0.63144843341891521</c:v>
                      </c:pt>
                      <c:pt idx="5">
                        <c:v>0.71586650872068813</c:v>
                      </c:pt>
                      <c:pt idx="6">
                        <c:v>0.68116983183740698</c:v>
                      </c:pt>
                      <c:pt idx="7">
                        <c:v>0.7131707190872052</c:v>
                      </c:pt>
                      <c:pt idx="8">
                        <c:v>0.76246487090792936</c:v>
                      </c:pt>
                      <c:pt idx="9">
                        <c:v>0.78085553591809864</c:v>
                      </c:pt>
                      <c:pt idx="10">
                        <c:v>0.79124761232883145</c:v>
                      </c:pt>
                      <c:pt idx="11">
                        <c:v>0.86967129499983253</c:v>
                      </c:pt>
                      <c:pt idx="12">
                        <c:v>0.80738785714192918</c:v>
                      </c:pt>
                      <c:pt idx="13">
                        <c:v>0.80558228883886074</c:v>
                      </c:pt>
                      <c:pt idx="14">
                        <c:v>0.87240326094137</c:v>
                      </c:pt>
                      <c:pt idx="15">
                        <c:v>0.95054519756745437</c:v>
                      </c:pt>
                      <c:pt idx="16">
                        <c:v>1.0089026494511499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F-30EE-4A56-B4E1-29F6C06E4547}"/>
                  </c:ext>
                </c:extLst>
              </c15:ser>
            </c15:filteredLineSeries>
            <c15:filteredLineSeries>
              <c15:ser>
                <c:idx val="17"/>
                <c:order val="1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Final!$D$22</c15:sqref>
                        </c15:formulaRef>
                      </c:ext>
                    </c:extLst>
                    <c:strCache>
                      <c:ptCount val="1"/>
                      <c:pt idx="0">
                        <c:v>Fiji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Final!$E$4:$AK$4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Final!$E$22:$AK$22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0.55299121247525207</c:v>
                      </c:pt>
                      <c:pt idx="1">
                        <c:v>0.54742556018428878</c:v>
                      </c:pt>
                      <c:pt idx="2">
                        <c:v>0.61113471696766108</c:v>
                      </c:pt>
                      <c:pt idx="3">
                        <c:v>0.69191584794394245</c:v>
                      </c:pt>
                      <c:pt idx="4">
                        <c:v>0.79066688970757459</c:v>
                      </c:pt>
                      <c:pt idx="5">
                        <c:v>0.78749678277384616</c:v>
                      </c:pt>
                      <c:pt idx="6">
                        <c:v>0.85911350888126714</c:v>
                      </c:pt>
                      <c:pt idx="7">
                        <c:v>0.89605567220232984</c:v>
                      </c:pt>
                      <c:pt idx="8">
                        <c:v>0.83461549549488778</c:v>
                      </c:pt>
                      <c:pt idx="9">
                        <c:v>0.75388073263419841</c:v>
                      </c:pt>
                      <c:pt idx="10">
                        <c:v>0.76801255594226925</c:v>
                      </c:pt>
                      <c:pt idx="11">
                        <c:v>0.74888746535104778</c:v>
                      </c:pt>
                      <c:pt idx="12">
                        <c:v>0.72596975982595946</c:v>
                      </c:pt>
                      <c:pt idx="13">
                        <c:v>0.78765928937683072</c:v>
                      </c:pt>
                      <c:pt idx="14">
                        <c:v>0.84425144937718277</c:v>
                      </c:pt>
                      <c:pt idx="15">
                        <c:v>0.8620668121691315</c:v>
                      </c:pt>
                      <c:pt idx="16">
                        <c:v>0.92796324740404657</c:v>
                      </c:pt>
                      <c:pt idx="17">
                        <c:v>1.041138811666886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11-30EE-4A56-B4E1-29F6C06E4547}"/>
                  </c:ext>
                </c:extLst>
              </c15:ser>
            </c15:filteredLineSeries>
            <c15:filteredLineSeries>
              <c15:ser>
                <c:idx val="18"/>
                <c:order val="1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Final!$D$23</c15:sqref>
                        </c15:formulaRef>
                      </c:ext>
                    </c:extLst>
                    <c:strCache>
                      <c:ptCount val="1"/>
                      <c:pt idx="0">
                        <c:v>Sweden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Final!$E$4:$AK$4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Final!$E$23:$AK$23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0.50268773203126205</c:v>
                      </c:pt>
                      <c:pt idx="1">
                        <c:v>0.51122587684616783</c:v>
                      </c:pt>
                      <c:pt idx="2">
                        <c:v>0.47427717421565269</c:v>
                      </c:pt>
                      <c:pt idx="3">
                        <c:v>0.47434823341548599</c:v>
                      </c:pt>
                      <c:pt idx="4">
                        <c:v>0.38149281794794032</c:v>
                      </c:pt>
                      <c:pt idx="5">
                        <c:v>0.34289051263655751</c:v>
                      </c:pt>
                      <c:pt idx="6">
                        <c:v>0.31324742736164868</c:v>
                      </c:pt>
                      <c:pt idx="7">
                        <c:v>0.31832135228372049</c:v>
                      </c:pt>
                      <c:pt idx="8">
                        <c:v>0.34718775191535012</c:v>
                      </c:pt>
                      <c:pt idx="9">
                        <c:v>0.35832938245027812</c:v>
                      </c:pt>
                      <c:pt idx="10">
                        <c:v>0.37432187027912289</c:v>
                      </c:pt>
                      <c:pt idx="11">
                        <c:v>0.39799939803427048</c:v>
                      </c:pt>
                      <c:pt idx="12">
                        <c:v>0.89547434522241443</c:v>
                      </c:pt>
                      <c:pt idx="13">
                        <c:v>0.89628767146107036</c:v>
                      </c:pt>
                      <c:pt idx="14">
                        <c:v>0.89911527683691106</c:v>
                      </c:pt>
                      <c:pt idx="15">
                        <c:v>0.91635025792767555</c:v>
                      </c:pt>
                      <c:pt idx="16">
                        <c:v>0.99270035089013897</c:v>
                      </c:pt>
                      <c:pt idx="17">
                        <c:v>1.027244595748066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12-30EE-4A56-B4E1-29F6C06E4547}"/>
                  </c:ext>
                </c:extLst>
              </c15:ser>
            </c15:filteredLineSeries>
            <c15:filteredLineSeries>
              <c15:ser>
                <c:idx val="19"/>
                <c:order val="1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Final!$D$24</c15:sqref>
                        </c15:formulaRef>
                      </c:ext>
                    </c:extLst>
                    <c:strCache>
                      <c:ptCount val="1"/>
                      <c:pt idx="0">
                        <c:v>IDA &amp; IBRD total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75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Final!$E$4:$AK$4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Final!$E$24:$AK$24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0.50968485498628247</c:v>
                      </c:pt>
                      <c:pt idx="1">
                        <c:v>0.54209467472687978</c:v>
                      </c:pt>
                      <c:pt idx="2">
                        <c:v>0.53603607503112671</c:v>
                      </c:pt>
                      <c:pt idx="3">
                        <c:v>0.52463711502813026</c:v>
                      </c:pt>
                      <c:pt idx="4">
                        <c:v>0.54149668194877532</c:v>
                      </c:pt>
                      <c:pt idx="5">
                        <c:v>0.57366147551916324</c:v>
                      </c:pt>
                      <c:pt idx="6">
                        <c:v>0.57417862658447061</c:v>
                      </c:pt>
                      <c:pt idx="7">
                        <c:v>0.66697625761324442</c:v>
                      </c:pt>
                      <c:pt idx="8">
                        <c:v>0.68000376475737834</c:v>
                      </c:pt>
                      <c:pt idx="9">
                        <c:v>0.69018577469197895</c:v>
                      </c:pt>
                      <c:pt idx="10">
                        <c:v>0.7328602428445421</c:v>
                      </c:pt>
                      <c:pt idx="11">
                        <c:v>0.77760092179956064</c:v>
                      </c:pt>
                      <c:pt idx="12">
                        <c:v>0.83052059424806757</c:v>
                      </c:pt>
                      <c:pt idx="13">
                        <c:v>0.91496572867834447</c:v>
                      </c:pt>
                      <c:pt idx="14">
                        <c:v>0.93118922947277782</c:v>
                      </c:pt>
                      <c:pt idx="15">
                        <c:v>0.92885775407510029</c:v>
                      </c:pt>
                      <c:pt idx="16">
                        <c:v>0.97765842284505278</c:v>
                      </c:pt>
                      <c:pt idx="17">
                        <c:v>0.99450323267807139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13-30EE-4A56-B4E1-29F6C06E4547}"/>
                  </c:ext>
                </c:extLst>
              </c15:ser>
            </c15:filteredLineSeries>
            <c15:filteredLineSeries>
              <c15:ser>
                <c:idx val="22"/>
                <c:order val="2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Final!$D$27</c15:sqref>
                        </c15:formulaRef>
                      </c:ext>
                    </c:extLst>
                    <c:strCache>
                      <c:ptCount val="1"/>
                      <c:pt idx="0">
                        <c:v>IBRD only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75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Final!$E$4:$AK$4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Final!$E$27:$AK$27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0.52217992148491588</c:v>
                      </c:pt>
                      <c:pt idx="1">
                        <c:v>0.52643576791457636</c:v>
                      </c:pt>
                      <c:pt idx="2">
                        <c:v>0.507821318840323</c:v>
                      </c:pt>
                      <c:pt idx="3">
                        <c:v>0.54539584726848556</c:v>
                      </c:pt>
                      <c:pt idx="4">
                        <c:v>0.58138824733890249</c:v>
                      </c:pt>
                      <c:pt idx="5">
                        <c:v>0.57333967564739219</c:v>
                      </c:pt>
                      <c:pt idx="6">
                        <c:v>0.55959341672520557</c:v>
                      </c:pt>
                      <c:pt idx="7">
                        <c:v>0.57808062161479778</c:v>
                      </c:pt>
                      <c:pt idx="8">
                        <c:v>0.60852693120303114</c:v>
                      </c:pt>
                      <c:pt idx="9">
                        <c:v>0.60543868398391398</c:v>
                      </c:pt>
                      <c:pt idx="10">
                        <c:v>0.70361724695728833</c:v>
                      </c:pt>
                      <c:pt idx="11">
                        <c:v>0.7163034337869143</c:v>
                      </c:pt>
                      <c:pt idx="12">
                        <c:v>0.72731357243877237</c:v>
                      </c:pt>
                      <c:pt idx="13">
                        <c:v>0.77133525523308055</c:v>
                      </c:pt>
                      <c:pt idx="14">
                        <c:v>0.82278448973122253</c:v>
                      </c:pt>
                      <c:pt idx="15">
                        <c:v>0.87992444613680965</c:v>
                      </c:pt>
                      <c:pt idx="16">
                        <c:v>0.97029268040241912</c:v>
                      </c:pt>
                      <c:pt idx="17">
                        <c:v>0.98590103049597633</c:v>
                      </c:pt>
                      <c:pt idx="18">
                        <c:v>0.98153560436856213</c:v>
                      </c:pt>
                      <c:pt idx="19">
                        <c:v>1.0347021628773749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16-30EE-4A56-B4E1-29F6C06E4547}"/>
                  </c:ext>
                </c:extLst>
              </c15:ser>
            </c15:filteredLineSeries>
            <c15:filteredLineSeries>
              <c15:ser>
                <c:idx val="23"/>
                <c:order val="2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Final!$D$28</c15:sqref>
                        </c15:formulaRef>
                      </c:ext>
                    </c:extLst>
                    <c:strCache>
                      <c:ptCount val="1"/>
                      <c:pt idx="0">
                        <c:v>Late-demographic dividend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75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Final!$E$4:$AK$4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Final!$E$28:$AK$28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0.52436948789703752</c:v>
                      </c:pt>
                      <c:pt idx="1">
                        <c:v>0.54615397232199547</c:v>
                      </c:pt>
                      <c:pt idx="2">
                        <c:v>0.56183173747937487</c:v>
                      </c:pt>
                      <c:pt idx="3">
                        <c:v>0.60548447393484695</c:v>
                      </c:pt>
                      <c:pt idx="4">
                        <c:v>0.64604439776495126</c:v>
                      </c:pt>
                      <c:pt idx="5">
                        <c:v>0.64574587612526468</c:v>
                      </c:pt>
                      <c:pt idx="6">
                        <c:v>0.72639419399779459</c:v>
                      </c:pt>
                      <c:pt idx="7">
                        <c:v>0.73410899364888627</c:v>
                      </c:pt>
                      <c:pt idx="8">
                        <c:v>0.69402692235437524</c:v>
                      </c:pt>
                      <c:pt idx="9">
                        <c:v>0.7373678468555015</c:v>
                      </c:pt>
                      <c:pt idx="10">
                        <c:v>0.777284715491526</c:v>
                      </c:pt>
                      <c:pt idx="11">
                        <c:v>0.75408788728602372</c:v>
                      </c:pt>
                      <c:pt idx="12">
                        <c:v>0.72080675091327195</c:v>
                      </c:pt>
                      <c:pt idx="13">
                        <c:v>0.72433588163466001</c:v>
                      </c:pt>
                      <c:pt idx="14">
                        <c:v>0.75202596382151876</c:v>
                      </c:pt>
                      <c:pt idx="15">
                        <c:v>0.75534092020949084</c:v>
                      </c:pt>
                      <c:pt idx="16">
                        <c:v>0.90795982418768095</c:v>
                      </c:pt>
                      <c:pt idx="17">
                        <c:v>0.90697799581429839</c:v>
                      </c:pt>
                      <c:pt idx="18">
                        <c:v>0.8981770898801783</c:v>
                      </c:pt>
                      <c:pt idx="19">
                        <c:v>0.95244217072890858</c:v>
                      </c:pt>
                      <c:pt idx="20">
                        <c:v>1.00370353273152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17-30EE-4A56-B4E1-29F6C06E4547}"/>
                  </c:ext>
                </c:extLst>
              </c15:ser>
            </c15:filteredLineSeries>
            <c15:filteredLineSeries>
              <c15:ser>
                <c:idx val="25"/>
                <c:order val="2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Final!$D$30</c15:sqref>
                        </c15:formulaRef>
                      </c:ext>
                    </c:extLst>
                    <c:strCache>
                      <c:ptCount val="1"/>
                      <c:pt idx="0">
                        <c:v>Canada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Final!$E$4:$AK$4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Final!$E$30:$AK$30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0.53032184323719878</c:v>
                      </c:pt>
                      <c:pt idx="1">
                        <c:v>0.55675990718785084</c:v>
                      </c:pt>
                      <c:pt idx="2">
                        <c:v>0.56416627447945367</c:v>
                      </c:pt>
                      <c:pt idx="3">
                        <c:v>0.69870343524506051</c:v>
                      </c:pt>
                      <c:pt idx="4">
                        <c:v>0.68063867113537246</c:v>
                      </c:pt>
                      <c:pt idx="5">
                        <c:v>0.63007338909512101</c:v>
                      </c:pt>
                      <c:pt idx="6">
                        <c:v>0.62618780655690864</c:v>
                      </c:pt>
                      <c:pt idx="7">
                        <c:v>0.63228585656374559</c:v>
                      </c:pt>
                      <c:pt idx="8">
                        <c:v>0.63304787042135846</c:v>
                      </c:pt>
                      <c:pt idx="9">
                        <c:v>0.64086701860931583</c:v>
                      </c:pt>
                      <c:pt idx="10">
                        <c:v>0.66220286045168719</c:v>
                      </c:pt>
                      <c:pt idx="11">
                        <c:v>0.6980072336984926</c:v>
                      </c:pt>
                      <c:pt idx="12">
                        <c:v>0.73068047350039766</c:v>
                      </c:pt>
                      <c:pt idx="13">
                        <c:v>0.74988920918872626</c:v>
                      </c:pt>
                      <c:pt idx="14">
                        <c:v>0.76528598232827971</c:v>
                      </c:pt>
                      <c:pt idx="15">
                        <c:v>0.75532001761626266</c:v>
                      </c:pt>
                      <c:pt idx="16">
                        <c:v>0.74751506366386689</c:v>
                      </c:pt>
                      <c:pt idx="17">
                        <c:v>0.73950513515170968</c:v>
                      </c:pt>
                      <c:pt idx="18">
                        <c:v>0.78633084990823798</c:v>
                      </c:pt>
                      <c:pt idx="19">
                        <c:v>0.81531268779737465</c:v>
                      </c:pt>
                      <c:pt idx="20">
                        <c:v>0.79862539813163835</c:v>
                      </c:pt>
                      <c:pt idx="21">
                        <c:v>0.77250110872224598</c:v>
                      </c:pt>
                      <c:pt idx="22">
                        <c:v>0.73987738492292043</c:v>
                      </c:pt>
                      <c:pt idx="23">
                        <c:v>1.2135283176137031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19-30EE-4A56-B4E1-29F6C06E4547}"/>
                  </c:ext>
                </c:extLst>
              </c15:ser>
            </c15:filteredLineSeries>
            <c15:filteredLineSeries>
              <c15:ser>
                <c:idx val="26"/>
                <c:order val="2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Final!$D$31</c15:sqref>
                        </c15:formulaRef>
                      </c:ext>
                    </c:extLst>
                    <c:strCache>
                      <c:ptCount val="1"/>
                      <c:pt idx="0">
                        <c:v>Low &amp; middle income</c:v>
                      </c:pt>
                    </c:strCache>
                  </c:strRef>
                </c:tx>
                <c:spPr>
                  <a:ln w="19050" cap="rnd">
                    <a:solidFill>
                      <a:srgbClr val="A27B00"/>
                    </a:solidFill>
                    <a:round/>
                  </a:ln>
                  <a:effectLst/>
                </c:spPr>
                <c:marker>
                  <c:symbol val="none"/>
                </c:marker>
                <c:dPt>
                  <c:idx val="26"/>
                  <c:marker>
                    <c:symbol val="circle"/>
                    <c:size val="5"/>
                    <c:spPr>
                      <a:solidFill>
                        <a:schemeClr val="bg1"/>
                      </a:solidFill>
                      <a:ln w="9525">
                        <a:solidFill>
                          <a:srgbClr val="A27B00"/>
                        </a:solidFill>
                      </a:ln>
                      <a:effectLst/>
                    </c:spPr>
                  </c:marker>
                  <c:bubble3D val="0"/>
                  <c:extLst>
                    <c:ext xmlns:c16="http://schemas.microsoft.com/office/drawing/2014/chart" uri="{C3380CC4-5D6E-409C-BE32-E72D297353CC}">
                      <c16:uniqueId val="{00000030-30EE-4A56-B4E1-29F6C06E4547}"/>
                    </c:ext>
                  </c:extLst>
                </c:dPt>
                <c:dLbls>
                  <c:dLbl>
                    <c:idx val="26"/>
                    <c:layout>
                      <c:manualLayout>
                        <c:x val="-0.10441764866971336"/>
                        <c:y val="2.5089605734767026E-2"/>
                      </c:manualLayout>
                    </c:layout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900" b="1" i="0" u="none" strike="noStrike" kern="1200" baseline="0">
                            <a:solidFill>
                              <a:schemeClr val="tx1">
                                <a:lumMod val="75000"/>
                                <a:lumOff val="25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showLegendKey val="0"/>
                    <c:showVal val="0"/>
                    <c:showCatName val="0"/>
                    <c:showSerName val="1"/>
                    <c:showPercent val="0"/>
                    <c:showBubbleSize val="0"/>
                    <c:extLst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30-30EE-4A56-B4E1-29F6C06E4547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Final!$E$4:$AK$4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Final!$E$31:$AK$31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0.61304163020916791</c:v>
                      </c:pt>
                      <c:pt idx="1">
                        <c:v>0.48584998096944121</c:v>
                      </c:pt>
                      <c:pt idx="2">
                        <c:v>0.50852522355736307</c:v>
                      </c:pt>
                      <c:pt idx="3">
                        <c:v>0.47029400558373219</c:v>
                      </c:pt>
                      <c:pt idx="4">
                        <c:v>0.48474738827274921</c:v>
                      </c:pt>
                      <c:pt idx="5">
                        <c:v>0.4771907162837688</c:v>
                      </c:pt>
                      <c:pt idx="6">
                        <c:v>0.47063182248760599</c:v>
                      </c:pt>
                      <c:pt idx="7">
                        <c:v>0.51566496547700258</c:v>
                      </c:pt>
                      <c:pt idx="8">
                        <c:v>0.51424305635376211</c:v>
                      </c:pt>
                      <c:pt idx="9">
                        <c:v>0.5159690231565961</c:v>
                      </c:pt>
                      <c:pt idx="10">
                        <c:v>0.55758839180508302</c:v>
                      </c:pt>
                      <c:pt idx="11">
                        <c:v>0.5948437090166272</c:v>
                      </c:pt>
                      <c:pt idx="12">
                        <c:v>0.58454989640884825</c:v>
                      </c:pt>
                      <c:pt idx="13">
                        <c:v>0.57193397793278289</c:v>
                      </c:pt>
                      <c:pt idx="14">
                        <c:v>0.58616922577575337</c:v>
                      </c:pt>
                      <c:pt idx="15">
                        <c:v>0.6126360869163302</c:v>
                      </c:pt>
                      <c:pt idx="16">
                        <c:v>0.60384753641239575</c:v>
                      </c:pt>
                      <c:pt idx="17">
                        <c:v>0.70071550425407847</c:v>
                      </c:pt>
                      <c:pt idx="18">
                        <c:v>0.71713553254074658</c:v>
                      </c:pt>
                      <c:pt idx="19">
                        <c:v>0.72825269607408472</c:v>
                      </c:pt>
                      <c:pt idx="20">
                        <c:v>0.77581751930713438</c:v>
                      </c:pt>
                      <c:pt idx="21">
                        <c:v>0.81968051937949193</c:v>
                      </c:pt>
                      <c:pt idx="22">
                        <c:v>0.86460379953700739</c:v>
                      </c:pt>
                      <c:pt idx="23">
                        <c:v>0.9483506070260036</c:v>
                      </c:pt>
                      <c:pt idx="24">
                        <c:v>0.96584289080891039</c:v>
                      </c:pt>
                      <c:pt idx="25">
                        <c:v>0.96776706626566533</c:v>
                      </c:pt>
                      <c:pt idx="26">
                        <c:v>1.0231679513083041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1A-30EE-4A56-B4E1-29F6C06E4547}"/>
                  </c:ext>
                </c:extLst>
              </c15:ser>
            </c15:filteredLineSeries>
            <c15:filteredLineSeries>
              <c15:ser>
                <c:idx val="28"/>
                <c:order val="2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Final!$D$33</c15:sqref>
                        </c15:formulaRef>
                      </c:ext>
                    </c:extLst>
                    <c:strCache>
                      <c:ptCount val="1"/>
                      <c:pt idx="0">
                        <c:v>Lebanon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Final!$E$4:$AK$4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Final!$E$33:$AK$33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0.54550737382668524</c:v>
                      </c:pt>
                      <c:pt idx="1">
                        <c:v>0.65548293858870854</c:v>
                      </c:pt>
                      <c:pt idx="2">
                        <c:v>0.79377498363157328</c:v>
                      </c:pt>
                      <c:pt idx="3">
                        <c:v>0.45735857244855932</c:v>
                      </c:pt>
                      <c:pt idx="4">
                        <c:v>0.48948358208563719</c:v>
                      </c:pt>
                      <c:pt idx="5">
                        <c:v>0.42968591913577397</c:v>
                      </c:pt>
                      <c:pt idx="6">
                        <c:v>0.48816395863420731</c:v>
                      </c:pt>
                      <c:pt idx="7">
                        <c:v>0.54944632552265449</c:v>
                      </c:pt>
                      <c:pt idx="8">
                        <c:v>0.60548535978399209</c:v>
                      </c:pt>
                      <c:pt idx="9">
                        <c:v>0.66139999999999999</c:v>
                      </c:pt>
                      <c:pt idx="10">
                        <c:v>0.73891315155455273</c:v>
                      </c:pt>
                      <c:pt idx="11">
                        <c:v>0.82267475117263478</c:v>
                      </c:pt>
                      <c:pt idx="12">
                        <c:v>0.87901614142966944</c:v>
                      </c:pt>
                      <c:pt idx="13">
                        <c:v>0.86022851129402023</c:v>
                      </c:pt>
                      <c:pt idx="14">
                        <c:v>0.82574567054585757</c:v>
                      </c:pt>
                      <c:pt idx="15">
                        <c:v>0.78642870355078442</c:v>
                      </c:pt>
                      <c:pt idx="16">
                        <c:v>0.78125687195620552</c:v>
                      </c:pt>
                      <c:pt idx="17">
                        <c:v>0.69669526446321384</c:v>
                      </c:pt>
                      <c:pt idx="18">
                        <c:v>0.71811094223920502</c:v>
                      </c:pt>
                      <c:pt idx="19">
                        <c:v>0.74106420124924055</c:v>
                      </c:pt>
                      <c:pt idx="20">
                        <c:v>0.76275272711160935</c:v>
                      </c:pt>
                      <c:pt idx="21">
                        <c:v>0.72044693613297706</c:v>
                      </c:pt>
                      <c:pt idx="22">
                        <c:v>0.82528480012555017</c:v>
                      </c:pt>
                      <c:pt idx="23">
                        <c:v>0.89987856569182023</c:v>
                      </c:pt>
                      <c:pt idx="24">
                        <c:v>0.89955330272469625</c:v>
                      </c:pt>
                      <c:pt idx="25">
                        <c:v>0.93317292930294249</c:v>
                      </c:pt>
                      <c:pt idx="26">
                        <c:v>0.98225547584796746</c:v>
                      </c:pt>
                      <c:pt idx="27">
                        <c:v>1.0056612386642889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1C-30EE-4A56-B4E1-29F6C06E4547}"/>
                  </c:ext>
                </c:extLst>
              </c15:ser>
            </c15:filteredLineSeries>
            <c15:filteredLineSeries>
              <c15:ser>
                <c:idx val="30"/>
                <c:order val="3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Final!$D$35</c15:sqref>
                        </c15:formulaRef>
                      </c:ext>
                    </c:extLst>
                    <c:strCache>
                      <c:ptCount val="1"/>
                      <c:pt idx="0">
                        <c:v>Qatar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Final!$E$4:$AK$4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Final!$E$35:$AK$35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0.53255108556832698</c:v>
                      </c:pt>
                      <c:pt idx="1">
                        <c:v>0.65079763130932688</c:v>
                      </c:pt>
                      <c:pt idx="2">
                        <c:v>0.42060651138019728</c:v>
                      </c:pt>
                      <c:pt idx="3">
                        <c:v>0.35591400794504319</c:v>
                      </c:pt>
                      <c:pt idx="4">
                        <c:v>0.34696172232748251</c:v>
                      </c:pt>
                      <c:pt idx="5">
                        <c:v>0.31127184350048043</c:v>
                      </c:pt>
                      <c:pt idx="6">
                        <c:v>0.30550043992924159</c:v>
                      </c:pt>
                      <c:pt idx="7">
                        <c:v>0.38755958381025418</c:v>
                      </c:pt>
                      <c:pt idx="8">
                        <c:v>0.34762918135266341</c:v>
                      </c:pt>
                      <c:pt idx="9">
                        <c:v>0.26848992977137021</c:v>
                      </c:pt>
                      <c:pt idx="10">
                        <c:v>0.3489328477443609</c:v>
                      </c:pt>
                      <c:pt idx="11">
                        <c:v>0.28678248964303948</c:v>
                      </c:pt>
                      <c:pt idx="12">
                        <c:v>0.29988158248018398</c:v>
                      </c:pt>
                      <c:pt idx="13">
                        <c:v>0.28984866507375862</c:v>
                      </c:pt>
                      <c:pt idx="14">
                        <c:v>0.33721586639603679</c:v>
                      </c:pt>
                      <c:pt idx="15">
                        <c:v>0.35997458158665407</c:v>
                      </c:pt>
                      <c:pt idx="16">
                        <c:v>0.41576840759326139</c:v>
                      </c:pt>
                      <c:pt idx="17">
                        <c:v>0.40801185462709411</c:v>
                      </c:pt>
                      <c:pt idx="18">
                        <c:v>0.51735108684049369</c:v>
                      </c:pt>
                      <c:pt idx="19">
                        <c:v>0.45242405495074478</c:v>
                      </c:pt>
                      <c:pt idx="20">
                        <c:v>0.39753024879564841</c:v>
                      </c:pt>
                      <c:pt idx="21">
                        <c:v>0.37128439552166381</c:v>
                      </c:pt>
                      <c:pt idx="22">
                        <c:v>0.4000531900039952</c:v>
                      </c:pt>
                      <c:pt idx="23">
                        <c:v>0.46096780291424322</c:v>
                      </c:pt>
                      <c:pt idx="24">
                        <c:v>0.70842532862944663</c:v>
                      </c:pt>
                      <c:pt idx="25">
                        <c:v>0.79760609083749012</c:v>
                      </c:pt>
                      <c:pt idx="26">
                        <c:v>0.80081674144484749</c:v>
                      </c:pt>
                      <c:pt idx="27">
                        <c:v>0.80436747235292361</c:v>
                      </c:pt>
                      <c:pt idx="28">
                        <c:v>1.0063605496641701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1E-30EE-4A56-B4E1-29F6C06E4547}"/>
                  </c:ext>
                </c:extLst>
              </c15:ser>
            </c15:filteredLineSeries>
            <c15:filteredLineSeries>
              <c15:ser>
                <c:idx val="31"/>
                <c:order val="3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Final!$D$36</c15:sqref>
                        </c15:formulaRef>
                      </c:ext>
                    </c:extLst>
                    <c:strCache>
                      <c:ptCount val="1"/>
                      <c:pt idx="0">
                        <c:v>South Africa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Final!$E$4:$AK$4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Final!$E$36:$AK$36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0.58716657739689337</c:v>
                      </c:pt>
                      <c:pt idx="1">
                        <c:v>0.57402718943946407</c:v>
                      </c:pt>
                      <c:pt idx="2">
                        <c:v>0.56836563136005658</c:v>
                      </c:pt>
                      <c:pt idx="3">
                        <c:v>0.54801340745585347</c:v>
                      </c:pt>
                      <c:pt idx="4">
                        <c:v>0.56189022173754999</c:v>
                      </c:pt>
                      <c:pt idx="5">
                        <c:v>0.57638229084191084</c:v>
                      </c:pt>
                      <c:pt idx="6">
                        <c:v>0.58124104156712852</c:v>
                      </c:pt>
                      <c:pt idx="7">
                        <c:v>0.57208691499522446</c:v>
                      </c:pt>
                      <c:pt idx="8">
                        <c:v>0.5794372481913096</c:v>
                      </c:pt>
                      <c:pt idx="9">
                        <c:v>0.5501493439533478</c:v>
                      </c:pt>
                      <c:pt idx="10">
                        <c:v>0.5669019855026789</c:v>
                      </c:pt>
                      <c:pt idx="11">
                        <c:v>0.54732694296174156</c:v>
                      </c:pt>
                      <c:pt idx="12">
                        <c:v>0.53874822407144307</c:v>
                      </c:pt>
                      <c:pt idx="13">
                        <c:v>0.5340694357785899</c:v>
                      </c:pt>
                      <c:pt idx="14">
                        <c:v>0.52068010550113042</c:v>
                      </c:pt>
                      <c:pt idx="15">
                        <c:v>0.50085299481597423</c:v>
                      </c:pt>
                      <c:pt idx="16">
                        <c:v>0.53922117960826532</c:v>
                      </c:pt>
                      <c:pt idx="17">
                        <c:v>0.55294823963291739</c:v>
                      </c:pt>
                      <c:pt idx="18">
                        <c:v>0.5884009292691802</c:v>
                      </c:pt>
                      <c:pt idx="19">
                        <c:v>0.61759566158441626</c:v>
                      </c:pt>
                      <c:pt idx="20">
                        <c:v>0.65197690363986938</c:v>
                      </c:pt>
                      <c:pt idx="21">
                        <c:v>0.64857384051832145</c:v>
                      </c:pt>
                      <c:pt idx="22">
                        <c:v>0.65225413380819131</c:v>
                      </c:pt>
                      <c:pt idx="23">
                        <c:v>0.66753346193546204</c:v>
                      </c:pt>
                      <c:pt idx="24">
                        <c:v>0.69140792886254165</c:v>
                      </c:pt>
                      <c:pt idx="25">
                        <c:v>0.71938198922505647</c:v>
                      </c:pt>
                      <c:pt idx="26">
                        <c:v>0.90983076724859879</c:v>
                      </c:pt>
                      <c:pt idx="27">
                        <c:v>0.9582825572459589</c:v>
                      </c:pt>
                      <c:pt idx="28">
                        <c:v>1.0105860317314681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1F-30EE-4A56-B4E1-29F6C06E4547}"/>
                  </c:ext>
                </c:extLst>
              </c15:ser>
            </c15:filteredLineSeries>
            <c15:filteredLineSeries>
              <c15:ser>
                <c:idx val="32"/>
                <c:order val="3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Final!$D$37</c15:sqref>
                        </c15:formulaRef>
                      </c:ext>
                    </c:extLst>
                    <c:strCache>
                      <c:ptCount val="1"/>
                      <c:pt idx="0">
                        <c:v>Macao SAR, China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Final!$E$4:$AK$4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Final!$E$37:$AK$37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0.52428203415704611</c:v>
                      </c:pt>
                      <c:pt idx="1">
                        <c:v>0.63188618632400184</c:v>
                      </c:pt>
                      <c:pt idx="2">
                        <c:v>0.61091471857945756</c:v>
                      </c:pt>
                      <c:pt idx="3">
                        <c:v>0.56016835660991005</c:v>
                      </c:pt>
                      <c:pt idx="4">
                        <c:v>0.59636472314296585</c:v>
                      </c:pt>
                      <c:pt idx="5">
                        <c:v>0.63597552560150894</c:v>
                      </c:pt>
                      <c:pt idx="6">
                        <c:v>0.62642857142857145</c:v>
                      </c:pt>
                      <c:pt idx="7">
                        <c:v>0.65594266374676491</c:v>
                      </c:pt>
                      <c:pt idx="8">
                        <c:v>0.66061665688251348</c:v>
                      </c:pt>
                      <c:pt idx="9">
                        <c:v>0.79743691987328591</c:v>
                      </c:pt>
                      <c:pt idx="10">
                        <c:v>0.79036804076514278</c:v>
                      </c:pt>
                      <c:pt idx="11">
                        <c:v>0.7426614655694489</c:v>
                      </c:pt>
                      <c:pt idx="12">
                        <c:v>0.77819463392451116</c:v>
                      </c:pt>
                      <c:pt idx="13">
                        <c:v>0.84350684080674942</c:v>
                      </c:pt>
                      <c:pt idx="14">
                        <c:v>0.78936586085449278</c:v>
                      </c:pt>
                      <c:pt idx="15">
                        <c:v>0.80481805672349216</c:v>
                      </c:pt>
                      <c:pt idx="16">
                        <c:v>0.71969393198079734</c:v>
                      </c:pt>
                      <c:pt idx="17">
                        <c:v>0.63403788648570181</c:v>
                      </c:pt>
                      <c:pt idx="18">
                        <c:v>0.54579375211077341</c:v>
                      </c:pt>
                      <c:pt idx="19">
                        <c:v>0.48219402240464421</c:v>
                      </c:pt>
                      <c:pt idx="20">
                        <c:v>0.40720756131268893</c:v>
                      </c:pt>
                      <c:pt idx="21">
                        <c:v>0.43901689678180977</c:v>
                      </c:pt>
                      <c:pt idx="22">
                        <c:v>0.40915157040348188</c:v>
                      </c:pt>
                      <c:pt idx="23">
                        <c:v>0.47311519020657172</c:v>
                      </c:pt>
                      <c:pt idx="24">
                        <c:v>0.53282047450471126</c:v>
                      </c:pt>
                      <c:pt idx="25">
                        <c:v>0.57455805008788874</c:v>
                      </c:pt>
                      <c:pt idx="26">
                        <c:v>0.56866026741469633</c:v>
                      </c:pt>
                      <c:pt idx="27">
                        <c:v>0.56125321699575581</c:v>
                      </c:pt>
                      <c:pt idx="28">
                        <c:v>0.57570931792564084</c:v>
                      </c:pt>
                      <c:pt idx="29">
                        <c:v>0.62515084761809969</c:v>
                      </c:pt>
                      <c:pt idx="30">
                        <c:v>0.77347359124031034</c:v>
                      </c:pt>
                      <c:pt idx="31">
                        <c:v>1.085117040872345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20-30EE-4A56-B4E1-29F6C06E4547}"/>
                  </c:ext>
                </c:extLst>
              </c15:ser>
            </c15:filteredLineSeries>
            <c15:filteredLineSeries>
              <c15:ser>
                <c:idx val="33"/>
                <c:order val="3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Final!$D$38</c15:sqref>
                        </c15:formulaRef>
                      </c:ext>
                    </c:extLst>
                    <c:strCache>
                      <c:ptCount val="1"/>
                      <c:pt idx="0">
                        <c:v>Kuwait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Final!$E$4:$AK$4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Final!$E$38:$AK$38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0.52439232373121691</c:v>
                      </c:pt>
                      <c:pt idx="1">
                        <c:v>0.72187436929557069</c:v>
                      </c:pt>
                      <c:pt idx="2">
                        <c:v>0.71785041493216961</c:v>
                      </c:pt>
                      <c:pt idx="3">
                        <c:v>0.72431307814084178</c:v>
                      </c:pt>
                      <c:pt idx="4">
                        <c:v>0.73427039631376412</c:v>
                      </c:pt>
                      <c:pt idx="5">
                        <c:v>0.935456050393077</c:v>
                      </c:pt>
                      <c:pt idx="6">
                        <c:v>0.83021432107030046</c:v>
                      </c:pt>
                      <c:pt idx="7">
                        <c:v>0.90845633112409641</c:v>
                      </c:pt>
                      <c:pt idx="8">
                        <c:v>0.7370815568723752</c:v>
                      </c:pt>
                      <c:pt idx="9">
                        <c:v>0.26730143355171038</c:v>
                      </c:pt>
                      <c:pt idx="10">
                        <c:v>0.17724190891200711</c:v>
                      </c:pt>
                      <c:pt idx="11">
                        <c:v>0.1716249624047422</c:v>
                      </c:pt>
                      <c:pt idx="12">
                        <c:v>0.23078591724061989</c:v>
                      </c:pt>
                      <c:pt idx="13">
                        <c:v>0.30026251247858621</c:v>
                      </c:pt>
                      <c:pt idx="14">
                        <c:v>0.33652204346119979</c:v>
                      </c:pt>
                      <c:pt idx="15">
                        <c:v>0.46967968979113039</c:v>
                      </c:pt>
                      <c:pt idx="16">
                        <c:v>0.60729779295516351</c:v>
                      </c:pt>
                      <c:pt idx="17">
                        <c:v>0.54692083710481254</c:v>
                      </c:pt>
                      <c:pt idx="18">
                        <c:v>0.45389488604444139</c:v>
                      </c:pt>
                      <c:pt idx="19">
                        <c:v>0.56630542056074762</c:v>
                      </c:pt>
                      <c:pt idx="20">
                        <c:v>0.58337066436583263</c:v>
                      </c:pt>
                      <c:pt idx="21">
                        <c:v>0.59464569081529661</c:v>
                      </c:pt>
                      <c:pt idx="22">
                        <c:v>0.5636454354986955</c:v>
                      </c:pt>
                      <c:pt idx="23">
                        <c:v>0.50932667039655499</c:v>
                      </c:pt>
                      <c:pt idx="24">
                        <c:v>0.49954142418432618</c:v>
                      </c:pt>
                      <c:pt idx="25">
                        <c:v>0.59579387733804778</c:v>
                      </c:pt>
                      <c:pt idx="26">
                        <c:v>0.57264928141989613</c:v>
                      </c:pt>
                      <c:pt idx="27">
                        <c:v>0.79071926994182884</c:v>
                      </c:pt>
                      <c:pt idx="28">
                        <c:v>0.7463938306575284</c:v>
                      </c:pt>
                      <c:pt idx="29">
                        <c:v>0.60806258189383777</c:v>
                      </c:pt>
                      <c:pt idx="30">
                        <c:v>0.55743368272945515</c:v>
                      </c:pt>
                      <c:pt idx="31">
                        <c:v>0.59751887354110966</c:v>
                      </c:pt>
                      <c:pt idx="32">
                        <c:v>0.67640715737781454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21-30EE-4A56-B4E1-29F6C06E4547}"/>
                  </c:ext>
                </c:extLst>
              </c15:ser>
            </c15:filteredLineSeries>
          </c:ext>
        </c:extLst>
      </c:lineChart>
      <c:catAx>
        <c:axId val="10394450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masis MT Pro Medium" panose="02040604050005020304" pitchFamily="18" charset="0"/>
                    <a:ea typeface="+mn-ea"/>
                    <a:cs typeface="+mn-cs"/>
                  </a:defRPr>
                </a:pPr>
                <a:r>
                  <a:rPr lang="en-US" b="1">
                    <a:latin typeface="Amasis MT Pro Medium" panose="02040604050005020304" pitchFamily="18" charset="0"/>
                  </a:rPr>
                  <a:t>Number</a:t>
                </a:r>
                <a:r>
                  <a:rPr lang="en-US" b="1" baseline="0">
                    <a:latin typeface="Amasis MT Pro Medium" panose="02040604050005020304" pitchFamily="18" charset="0"/>
                  </a:rPr>
                  <a:t> of y</a:t>
                </a:r>
                <a:r>
                  <a:rPr lang="en-US" b="1">
                    <a:latin typeface="Amasis MT Pro Medium" panose="02040604050005020304" pitchFamily="18" charset="0"/>
                  </a:rPr>
                  <a:t>ears from ~50% to ~100% Credit to GDP</a:t>
                </a:r>
              </a:p>
            </c:rich>
          </c:tx>
          <c:layout>
            <c:manualLayout>
              <c:xMode val="edge"/>
              <c:yMode val="edge"/>
              <c:x val="0.27661571413781338"/>
              <c:y val="0.925733265334945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masis MT Pro Medium" panose="02040604050005020304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9447407"/>
        <c:crosses val="autoZero"/>
        <c:auto val="1"/>
        <c:lblAlgn val="ctr"/>
        <c:lblOffset val="100"/>
        <c:tickLblSkip val="5"/>
        <c:noMultiLvlLbl val="0"/>
      </c:catAx>
      <c:valAx>
        <c:axId val="1039447407"/>
        <c:scaling>
          <c:orientation val="minMax"/>
          <c:max val="1.4"/>
          <c:min val="0.4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masis MT Pro Medium" panose="02040604050005020304" pitchFamily="18" charset="0"/>
                    <a:ea typeface="+mn-ea"/>
                    <a:cs typeface="+mn-cs"/>
                  </a:defRPr>
                </a:pPr>
                <a:r>
                  <a:rPr lang="en-US" b="1">
                    <a:latin typeface="Amasis MT Pro Medium" panose="02040604050005020304" pitchFamily="18" charset="0"/>
                  </a:rPr>
                  <a:t>Credit to GDP</a:t>
                </a:r>
              </a:p>
            </c:rich>
          </c:tx>
          <c:layout>
            <c:manualLayout>
              <c:xMode val="edge"/>
              <c:yMode val="edge"/>
              <c:x val="1.1936734180960515E-2"/>
              <c:y val="0.4576642948533166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masis MT Pro Medium" panose="02040604050005020304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9445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23812</xdr:colOff>
      <xdr:row>12</xdr:row>
      <xdr:rowOff>171450</xdr:rowOff>
    </xdr:from>
    <xdr:to>
      <xdr:col>13</xdr:col>
      <xdr:colOff>264584</xdr:colOff>
      <xdr:row>40</xdr:row>
      <xdr:rowOff>47625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E650CB4-21DE-48F6-B2B0-AA76D3D26F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0.13656</cdr:x>
      <cdr:y>0.20931</cdr:y>
    </cdr:from>
    <cdr:to>
      <cdr:x>0.50763</cdr:x>
      <cdr:y>0.31792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F1C3CFE-7B3D-92C8-546B-20B37F274D87}"/>
            </a:ext>
          </a:extLst>
        </cdr:cNvPr>
        <cdr:cNvSpPr txBox="1"/>
      </cdr:nvSpPr>
      <cdr:spPr>
        <a:xfrm xmlns:a="http://schemas.openxmlformats.org/drawingml/2006/main">
          <a:off x="726450" y="1034702"/>
          <a:ext cx="1973983" cy="53692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b="1">
              <a:solidFill>
                <a:srgbClr val="860000"/>
              </a:solidFill>
              <a:latin typeface="Amasis MT Pro Medium" panose="02040604050005020304" pitchFamily="18" charset="0"/>
            </a:rPr>
            <a:t>In these countries </a:t>
          </a:r>
          <a:r>
            <a:rPr lang="en-US" sz="900">
              <a:latin typeface="Amasis MT Pro Medium" panose="02040604050005020304" pitchFamily="18" charset="0"/>
            </a:rPr>
            <a:t>credit-to-GDP doubled from 50% to 100% in 4–5 years. </a:t>
          </a:r>
          <a:r>
            <a:rPr lang="en-US" sz="900" b="1">
              <a:latin typeface="Amasis MT Pro Medium" panose="02040604050005020304" pitchFamily="18" charset="0"/>
            </a:rPr>
            <a:t>Pretty risky pace</a:t>
          </a:r>
          <a:endParaRPr lang="en-US" sz="1050" b="1" kern="1200">
            <a:latin typeface="Amasis MT Pro Medium" panose="02040604050005020304" pitchFamily="18" charset="0"/>
          </a:endParaRPr>
        </a:p>
      </cdr:txBody>
    </cdr:sp>
  </cdr:relSizeAnchor>
  <cdr:relSizeAnchor xmlns:cdr="http://schemas.openxmlformats.org/drawingml/2006/chartDrawing">
    <cdr:from>
      <cdr:x>0.54238</cdr:x>
      <cdr:y>0.19655</cdr:y>
    </cdr:from>
    <cdr:to>
      <cdr:x>1</cdr:x>
      <cdr:y>0.29865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15D4C3F9-D616-F907-73FF-97A5D4A2419D}"/>
            </a:ext>
          </a:extLst>
        </cdr:cNvPr>
        <cdr:cNvSpPr txBox="1"/>
      </cdr:nvSpPr>
      <cdr:spPr>
        <a:xfrm xmlns:a="http://schemas.openxmlformats.org/drawingml/2006/main">
          <a:off x="2885294" y="971659"/>
          <a:ext cx="2434419" cy="5047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1">
              <a:solidFill>
                <a:schemeClr val="accent3">
                  <a:lumMod val="50000"/>
                </a:schemeClr>
              </a:solidFill>
              <a:latin typeface="Amasis MT Pro Medium" panose="02040604050005020304" pitchFamily="18" charset="0"/>
            </a:rPr>
            <a:t>...and</a:t>
          </a:r>
          <a:r>
            <a:rPr lang="en-US" sz="1050" b="1" baseline="0">
              <a:solidFill>
                <a:schemeClr val="accent3">
                  <a:lumMod val="50000"/>
                </a:schemeClr>
              </a:solidFill>
              <a:latin typeface="Amasis MT Pro Medium" panose="02040604050005020304" pitchFamily="18" charset="0"/>
            </a:rPr>
            <a:t> in these countries </a:t>
          </a:r>
          <a:r>
            <a:rPr lang="en-US" sz="900">
              <a:latin typeface="Amasis MT Pro Medium" panose="02040604050005020304" pitchFamily="18" charset="0"/>
            </a:rPr>
            <a:t>the same process took 15-20 years, which</a:t>
          </a:r>
          <a:r>
            <a:rPr lang="en-US" sz="900" baseline="0">
              <a:latin typeface="Amasis MT Pro Medium" panose="02040604050005020304" pitchFamily="18" charset="0"/>
            </a:rPr>
            <a:t> is a good pace from financial stability perspective</a:t>
          </a:r>
          <a:endParaRPr lang="en-US" sz="1050" kern="1200">
            <a:latin typeface="Amasis MT Pro Medium" panose="02040604050005020304" pitchFamily="18" charset="0"/>
          </a:endParaRPr>
        </a:p>
      </cdr:txBody>
    </cdr:sp>
  </cdr:relSizeAnchor>
  <cdr:relSizeAnchor xmlns:cdr="http://schemas.openxmlformats.org/drawingml/2006/chartDrawing">
    <cdr:from>
      <cdr:x>0.68019</cdr:x>
      <cdr:y>0.70609</cdr:y>
    </cdr:from>
    <cdr:to>
      <cdr:x>0.98657</cdr:x>
      <cdr:y>0.86828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1C20478A-CC20-C75D-0EE6-39EA7C9C6FF8}"/>
            </a:ext>
          </a:extLst>
        </cdr:cNvPr>
        <cdr:cNvSpPr txBox="1"/>
      </cdr:nvSpPr>
      <cdr:spPr>
        <a:xfrm xmlns:a="http://schemas.openxmlformats.org/drawingml/2006/main">
          <a:off x="3618426" y="3490562"/>
          <a:ext cx="1629849" cy="8017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1" baseline="0">
              <a:solidFill>
                <a:srgbClr val="7E6000"/>
              </a:solidFill>
              <a:latin typeface="Amasis MT Pro Medium" panose="02040604050005020304" pitchFamily="18" charset="0"/>
            </a:rPr>
            <a:t>These countries went extra safe</a:t>
          </a:r>
          <a:r>
            <a:rPr lang="en-US" sz="900">
              <a:latin typeface="Amasis MT Pro Medium" panose="02040604050005020304" pitchFamily="18" charset="0"/>
            </a:rPr>
            <a:t> with doubling financial</a:t>
          </a:r>
          <a:r>
            <a:rPr lang="en-US" sz="900" baseline="0">
              <a:latin typeface="Amasis MT Pro Medium" panose="02040604050005020304" pitchFamily="18" charset="0"/>
            </a:rPr>
            <a:t> intermediation in more than 25 years</a:t>
          </a:r>
          <a:endParaRPr lang="en-US" sz="1050" kern="1200">
            <a:latin typeface="Amasis MT Pro Medium" panose="02040604050005020304" pitchFamily="18" charset="0"/>
          </a:endParaRPr>
        </a:p>
      </cdr:txBody>
    </cdr:sp>
  </cdr:relSizeAnchor>
  <cdr:relSizeAnchor xmlns:cdr="http://schemas.openxmlformats.org/drawingml/2006/chartDrawing">
    <cdr:from>
      <cdr:x>0.12981</cdr:x>
      <cdr:y>0.37861</cdr:y>
    </cdr:from>
    <cdr:to>
      <cdr:x>0.38048</cdr:x>
      <cdr:y>0.59056</cdr:y>
    </cdr:to>
    <cdr:sp macro="" textlink="">
      <cdr:nvSpPr>
        <cdr:cNvPr id="7" name="Oval 6">
          <a:extLst xmlns:a="http://schemas.openxmlformats.org/drawingml/2006/main">
            <a:ext uri="{FF2B5EF4-FFF2-40B4-BE49-F238E27FC236}">
              <a16:creationId xmlns:a16="http://schemas.microsoft.com/office/drawing/2014/main" id="{E5001C59-C4EF-214E-8803-699B057AB2D8}"/>
            </a:ext>
          </a:extLst>
        </cdr:cNvPr>
        <cdr:cNvSpPr/>
      </cdr:nvSpPr>
      <cdr:spPr>
        <a:xfrm xmlns:a="http://schemas.openxmlformats.org/drawingml/2006/main">
          <a:off x="690563" y="1871663"/>
          <a:ext cx="1333500" cy="1047750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 w="9525">
          <a:solidFill>
            <a:schemeClr val="tx1"/>
          </a:solidFill>
          <a:prstDash val="dash"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 kern="1200"/>
        </a:p>
      </cdr:txBody>
    </cdr:sp>
  </cdr:relSizeAnchor>
  <cdr:relSizeAnchor xmlns:cdr="http://schemas.openxmlformats.org/drawingml/2006/chartDrawing">
    <cdr:from>
      <cdr:x>0.25515</cdr:x>
      <cdr:y>0.31407</cdr:y>
    </cdr:from>
    <cdr:to>
      <cdr:x>0.28469</cdr:x>
      <cdr:y>0.37861</cdr:y>
    </cdr:to>
    <cdr:cxnSp macro="">
      <cdr:nvCxnSpPr>
        <cdr:cNvPr id="9" name="Straight Arrow Connector 8">
          <a:extLst xmlns:a="http://schemas.openxmlformats.org/drawingml/2006/main">
            <a:ext uri="{FF2B5EF4-FFF2-40B4-BE49-F238E27FC236}">
              <a16:creationId xmlns:a16="http://schemas.microsoft.com/office/drawing/2014/main" id="{6A8B0E87-35CE-23C9-702E-193B51258F66}"/>
            </a:ext>
          </a:extLst>
        </cdr:cNvPr>
        <cdr:cNvCxnSpPr>
          <a:stCxn xmlns:a="http://schemas.openxmlformats.org/drawingml/2006/main" id="7" idx="0"/>
        </cdr:cNvCxnSpPr>
      </cdr:nvCxnSpPr>
      <cdr:spPr>
        <a:xfrm xmlns:a="http://schemas.openxmlformats.org/drawingml/2006/main" flipV="1">
          <a:off x="1357313" y="1552575"/>
          <a:ext cx="157163" cy="319088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0.47061</cdr:x>
      <cdr:y>0.3343</cdr:y>
    </cdr:from>
    <cdr:to>
      <cdr:x>0.79141</cdr:x>
      <cdr:y>0.5106</cdr:y>
    </cdr:to>
    <cdr:sp macro="" textlink="">
      <cdr:nvSpPr>
        <cdr:cNvPr id="10" name="Oval 9">
          <a:extLst xmlns:a="http://schemas.openxmlformats.org/drawingml/2006/main">
            <a:ext uri="{FF2B5EF4-FFF2-40B4-BE49-F238E27FC236}">
              <a16:creationId xmlns:a16="http://schemas.microsoft.com/office/drawing/2014/main" id="{DDF5AA16-E927-9538-51C1-D5C66D66743A}"/>
            </a:ext>
          </a:extLst>
        </cdr:cNvPr>
        <cdr:cNvSpPr/>
      </cdr:nvSpPr>
      <cdr:spPr>
        <a:xfrm xmlns:a="http://schemas.openxmlformats.org/drawingml/2006/main">
          <a:off x="2503487" y="1652588"/>
          <a:ext cx="1706563" cy="871537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 w="9525">
          <a:solidFill>
            <a:schemeClr val="tx1"/>
          </a:solidFill>
          <a:prstDash val="dash"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kern="1200"/>
        </a:p>
      </cdr:txBody>
    </cdr:sp>
  </cdr:relSizeAnchor>
  <cdr:relSizeAnchor xmlns:cdr="http://schemas.openxmlformats.org/drawingml/2006/chartDrawing">
    <cdr:from>
      <cdr:x>0.63115</cdr:x>
      <cdr:y>0.29287</cdr:y>
    </cdr:from>
    <cdr:to>
      <cdr:x>0.64637</cdr:x>
      <cdr:y>0.32948</cdr:y>
    </cdr:to>
    <cdr:cxnSp macro="">
      <cdr:nvCxnSpPr>
        <cdr:cNvPr id="11" name="Straight Arrow Connector 10">
          <a:extLst xmlns:a="http://schemas.openxmlformats.org/drawingml/2006/main">
            <a:ext uri="{FF2B5EF4-FFF2-40B4-BE49-F238E27FC236}">
              <a16:creationId xmlns:a16="http://schemas.microsoft.com/office/drawing/2014/main" id="{79B616D4-E211-61DE-998D-C4AFD3674055}"/>
            </a:ext>
          </a:extLst>
        </cdr:cNvPr>
        <cdr:cNvCxnSpPr/>
      </cdr:nvCxnSpPr>
      <cdr:spPr>
        <a:xfrm xmlns:a="http://schemas.openxmlformats.org/drawingml/2006/main" flipV="1">
          <a:off x="3357563" y="1447800"/>
          <a:ext cx="80963" cy="180975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0.83527</cdr:x>
      <cdr:y>0.37572</cdr:y>
    </cdr:from>
    <cdr:to>
      <cdr:x>0.98001</cdr:x>
      <cdr:y>0.5411</cdr:y>
    </cdr:to>
    <cdr:sp macro="" textlink="">
      <cdr:nvSpPr>
        <cdr:cNvPr id="15" name="Oval 14">
          <a:extLst xmlns:a="http://schemas.openxmlformats.org/drawingml/2006/main">
            <a:ext uri="{FF2B5EF4-FFF2-40B4-BE49-F238E27FC236}">
              <a16:creationId xmlns:a16="http://schemas.microsoft.com/office/drawing/2014/main" id="{DDF5AA16-E927-9538-51C1-D5C66D66743A}"/>
            </a:ext>
          </a:extLst>
        </cdr:cNvPr>
        <cdr:cNvSpPr/>
      </cdr:nvSpPr>
      <cdr:spPr>
        <a:xfrm xmlns:a="http://schemas.openxmlformats.org/drawingml/2006/main">
          <a:off x="4443412" y="1857374"/>
          <a:ext cx="769937" cy="817563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 w="9525">
          <a:solidFill>
            <a:schemeClr val="tx1"/>
          </a:solidFill>
          <a:prstDash val="dash"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kern="1200"/>
        </a:p>
      </cdr:txBody>
    </cdr:sp>
  </cdr:relSizeAnchor>
  <cdr:relSizeAnchor xmlns:cdr="http://schemas.openxmlformats.org/drawingml/2006/chartDrawing">
    <cdr:from>
      <cdr:x>0.82722</cdr:x>
      <cdr:y>0.5411</cdr:y>
    </cdr:from>
    <cdr:to>
      <cdr:x>0.90764</cdr:x>
      <cdr:y>0.71387</cdr:y>
    </cdr:to>
    <cdr:cxnSp macro="">
      <cdr:nvCxnSpPr>
        <cdr:cNvPr id="16" name="Straight Arrow Connector 15">
          <a:extLst xmlns:a="http://schemas.openxmlformats.org/drawingml/2006/main">
            <a:ext uri="{FF2B5EF4-FFF2-40B4-BE49-F238E27FC236}">
              <a16:creationId xmlns:a16="http://schemas.microsoft.com/office/drawing/2014/main" id="{79B616D4-E211-61DE-998D-C4AFD3674055}"/>
            </a:ext>
          </a:extLst>
        </cdr:cNvPr>
        <cdr:cNvCxnSpPr>
          <a:stCxn xmlns:a="http://schemas.openxmlformats.org/drawingml/2006/main" id="15" idx="4"/>
        </cdr:cNvCxnSpPr>
      </cdr:nvCxnSpPr>
      <cdr:spPr>
        <a:xfrm xmlns:a="http://schemas.openxmlformats.org/drawingml/2006/main" flipH="1">
          <a:off x="4400551" y="2674937"/>
          <a:ext cx="427830" cy="854076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</cdr:x>
      <cdr:y>0.95477</cdr:y>
    </cdr:from>
    <cdr:to>
      <cdr:x>0.5259</cdr:x>
      <cdr:y>1</cdr:y>
    </cdr:to>
    <cdr:sp macro="" textlink="">
      <cdr:nvSpPr>
        <cdr:cNvPr id="24" name="TextBox 23">
          <a:extLst xmlns:a="http://schemas.openxmlformats.org/drawingml/2006/main">
            <a:ext uri="{FF2B5EF4-FFF2-40B4-BE49-F238E27FC236}">
              <a16:creationId xmlns:a16="http://schemas.microsoft.com/office/drawing/2014/main" id="{338DF40A-EB9D-3EE5-11B6-F81ADE0FEF18}"/>
            </a:ext>
          </a:extLst>
        </cdr:cNvPr>
        <cdr:cNvSpPr txBox="1"/>
      </cdr:nvSpPr>
      <cdr:spPr>
        <a:xfrm xmlns:a="http://schemas.openxmlformats.org/drawingml/2006/main">
          <a:off x="0" y="4691592"/>
          <a:ext cx="2788708" cy="222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900" i="1" kern="1200"/>
            <a:t>Chart prepared by Arthur Grigoryan, CFA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604"/>
  <sheetViews>
    <sheetView topLeftCell="A6" workbookViewId="0">
      <selection activeCell="H2" sqref="H2:AQ36"/>
    </sheetView>
  </sheetViews>
  <sheetFormatPr defaultRowHeight="14.25" x14ac:dyDescent="0.45"/>
  <sheetData>
    <row r="1" spans="1:4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39</v>
      </c>
    </row>
    <row r="2" spans="1:43" x14ac:dyDescent="0.45">
      <c r="A2" t="s">
        <v>5</v>
      </c>
      <c r="B2">
        <v>1989</v>
      </c>
      <c r="C2">
        <v>0.59177452902588967</v>
      </c>
      <c r="D2">
        <v>1989</v>
      </c>
      <c r="E2">
        <v>2004</v>
      </c>
      <c r="F2">
        <f>COUNTIFS($A$2:A2, A2)</f>
        <v>1</v>
      </c>
      <c r="H2" t="s">
        <v>40</v>
      </c>
      <c r="I2">
        <v>1</v>
      </c>
      <c r="J2">
        <v>2</v>
      </c>
      <c r="K2">
        <v>3</v>
      </c>
      <c r="L2">
        <v>4</v>
      </c>
      <c r="M2">
        <v>5</v>
      </c>
      <c r="N2">
        <v>6</v>
      </c>
      <c r="O2">
        <v>7</v>
      </c>
      <c r="P2">
        <v>8</v>
      </c>
      <c r="Q2">
        <v>9</v>
      </c>
      <c r="R2">
        <v>10</v>
      </c>
      <c r="S2">
        <v>11</v>
      </c>
      <c r="T2">
        <v>12</v>
      </c>
      <c r="U2">
        <v>13</v>
      </c>
      <c r="V2">
        <v>14</v>
      </c>
      <c r="W2">
        <v>15</v>
      </c>
      <c r="X2">
        <v>16</v>
      </c>
      <c r="Y2">
        <v>17</v>
      </c>
      <c r="Z2">
        <v>18</v>
      </c>
      <c r="AA2">
        <v>19</v>
      </c>
      <c r="AB2">
        <v>20</v>
      </c>
      <c r="AC2">
        <v>21</v>
      </c>
      <c r="AD2">
        <v>22</v>
      </c>
      <c r="AE2">
        <v>23</v>
      </c>
      <c r="AF2">
        <v>24</v>
      </c>
      <c r="AG2">
        <v>25</v>
      </c>
      <c r="AH2">
        <v>26</v>
      </c>
      <c r="AI2">
        <v>27</v>
      </c>
      <c r="AJ2">
        <v>28</v>
      </c>
      <c r="AK2">
        <v>29</v>
      </c>
      <c r="AL2">
        <v>30</v>
      </c>
      <c r="AM2">
        <v>31</v>
      </c>
      <c r="AN2">
        <v>32</v>
      </c>
      <c r="AO2">
        <v>33</v>
      </c>
      <c r="AP2">
        <v>34</v>
      </c>
      <c r="AQ2">
        <v>35</v>
      </c>
    </row>
    <row r="3" spans="1:43" x14ac:dyDescent="0.45">
      <c r="A3" t="s">
        <v>5</v>
      </c>
      <c r="B3">
        <v>1990</v>
      </c>
      <c r="C3">
        <v>0.60475371445633586</v>
      </c>
      <c r="D3">
        <v>1989</v>
      </c>
      <c r="E3">
        <v>2004</v>
      </c>
      <c r="F3">
        <f>COUNTIFS($A$2:A3, A3)</f>
        <v>2</v>
      </c>
      <c r="H3" t="s">
        <v>5</v>
      </c>
      <c r="I3">
        <f>IFERROR(AVERAGEIFS($C$2:$C$604,$A$2:$A$604,$H3,$F$2:$F$604,I$2),"")</f>
        <v>0.59177452902588967</v>
      </c>
      <c r="J3">
        <f t="shared" ref="J3:AQ10" si="0">IFERROR(AVERAGEIFS($C$2:$C$604,$A$2:$A$604,$H3,$F$2:$F$604,J$2),"")</f>
        <v>0.60475371445633586</v>
      </c>
      <c r="K3">
        <f t="shared" si="0"/>
        <v>0.60033374128984784</v>
      </c>
      <c r="L3">
        <f t="shared" si="0"/>
        <v>0.61773309112356234</v>
      </c>
      <c r="M3">
        <f t="shared" si="0"/>
        <v>0.63192071898715962</v>
      </c>
      <c r="N3">
        <f t="shared" si="0"/>
        <v>0.66673423984454916</v>
      </c>
      <c r="O3">
        <f t="shared" si="0"/>
        <v>0.69667949673680374</v>
      </c>
      <c r="P3">
        <f t="shared" si="0"/>
        <v>0.7138637677028693</v>
      </c>
      <c r="Q3">
        <f t="shared" si="0"/>
        <v>0.75201469832278989</v>
      </c>
      <c r="R3">
        <f t="shared" si="0"/>
        <v>0.78974896120815985</v>
      </c>
      <c r="S3">
        <f t="shared" si="0"/>
        <v>0.83904699406180905</v>
      </c>
      <c r="T3">
        <f t="shared" si="0"/>
        <v>0.87381032864698427</v>
      </c>
      <c r="U3">
        <f t="shared" si="0"/>
        <v>0.88189283033562649</v>
      </c>
      <c r="V3">
        <f t="shared" si="0"/>
        <v>0.91068540133500075</v>
      </c>
      <c r="W3">
        <f t="shared" si="0"/>
        <v>0.98970070138355193</v>
      </c>
      <c r="X3">
        <f t="shared" si="0"/>
        <v>1.0244769376009939</v>
      </c>
    </row>
    <row r="4" spans="1:43" x14ac:dyDescent="0.45">
      <c r="A4" t="s">
        <v>5</v>
      </c>
      <c r="B4">
        <v>1991</v>
      </c>
      <c r="C4">
        <v>0.60033374128984784</v>
      </c>
      <c r="D4">
        <v>1989</v>
      </c>
      <c r="E4">
        <v>2004</v>
      </c>
      <c r="F4">
        <f>COUNTIFS($A$2:A4, A4)</f>
        <v>3</v>
      </c>
      <c r="H4" t="s">
        <v>6</v>
      </c>
      <c r="I4">
        <f t="shared" ref="I4:X36" si="1">IFERROR(AVERAGEIFS($C$2:$C$604,$A$2:$A$604,$H4,$F$2:$F$604,I$2),"")</f>
        <v>0.52595593886279046</v>
      </c>
      <c r="J4">
        <f t="shared" si="0"/>
        <v>0.54468794976741619</v>
      </c>
      <c r="K4">
        <f t="shared" si="0"/>
        <v>0.54392780964823195</v>
      </c>
      <c r="L4">
        <f t="shared" si="0"/>
        <v>0.50425107350479936</v>
      </c>
      <c r="M4">
        <f t="shared" si="0"/>
        <v>0.51012910632825104</v>
      </c>
      <c r="N4">
        <f t="shared" si="0"/>
        <v>0.42053738281601949</v>
      </c>
      <c r="O4">
        <f t="shared" si="0"/>
        <v>0.44691433818360049</v>
      </c>
      <c r="P4">
        <f t="shared" si="0"/>
        <v>0.45652572338875991</v>
      </c>
      <c r="Q4">
        <f t="shared" si="0"/>
        <v>0.50476140831232341</v>
      </c>
      <c r="R4">
        <f t="shared" si="0"/>
        <v>0.50393230092926522</v>
      </c>
      <c r="S4">
        <f t="shared" si="0"/>
        <v>0.44245833386532002</v>
      </c>
      <c r="T4">
        <f t="shared" si="0"/>
        <v>1.053910076460898</v>
      </c>
    </row>
    <row r="5" spans="1:43" x14ac:dyDescent="0.45">
      <c r="A5" t="s">
        <v>5</v>
      </c>
      <c r="B5">
        <v>1992</v>
      </c>
      <c r="C5">
        <v>0.61773309112356234</v>
      </c>
      <c r="D5">
        <v>1989</v>
      </c>
      <c r="E5">
        <v>2004</v>
      </c>
      <c r="F5">
        <f>COUNTIFS($A$2:A5, A5)</f>
        <v>4</v>
      </c>
      <c r="H5" t="s">
        <v>7</v>
      </c>
      <c r="I5">
        <f t="shared" si="1"/>
        <v>0.53032184323719878</v>
      </c>
      <c r="J5">
        <f t="shared" si="0"/>
        <v>0.55675990718785084</v>
      </c>
      <c r="K5">
        <f t="shared" si="0"/>
        <v>0.56416627447945367</v>
      </c>
      <c r="L5">
        <f t="shared" si="0"/>
        <v>0.69870343524506051</v>
      </c>
      <c r="M5">
        <f t="shared" si="0"/>
        <v>0.68063867113537246</v>
      </c>
      <c r="N5">
        <f t="shared" si="0"/>
        <v>0.63007338909512101</v>
      </c>
      <c r="O5">
        <f t="shared" si="0"/>
        <v>0.62618780655690864</v>
      </c>
      <c r="P5">
        <f t="shared" si="0"/>
        <v>0.63228585656374559</v>
      </c>
      <c r="Q5">
        <f t="shared" si="0"/>
        <v>0.63304787042135846</v>
      </c>
      <c r="R5">
        <f t="shared" si="0"/>
        <v>0.64086701860931583</v>
      </c>
      <c r="S5">
        <f t="shared" si="0"/>
        <v>0.66220286045168719</v>
      </c>
      <c r="T5">
        <f t="shared" si="0"/>
        <v>0.6980072336984926</v>
      </c>
      <c r="U5">
        <f t="shared" si="0"/>
        <v>0.73068047350039766</v>
      </c>
      <c r="V5">
        <f t="shared" si="0"/>
        <v>0.74988920918872626</v>
      </c>
      <c r="W5">
        <f t="shared" si="0"/>
        <v>0.76528598232827971</v>
      </c>
      <c r="X5">
        <f t="shared" si="0"/>
        <v>0.75532001761626266</v>
      </c>
      <c r="Y5">
        <f t="shared" si="0"/>
        <v>0.74751506366386689</v>
      </c>
      <c r="Z5">
        <f t="shared" si="0"/>
        <v>0.73950513515170968</v>
      </c>
      <c r="AA5">
        <f t="shared" si="0"/>
        <v>0.78633084990823798</v>
      </c>
      <c r="AB5">
        <f t="shared" si="0"/>
        <v>0.81531268779737465</v>
      </c>
      <c r="AC5">
        <f t="shared" si="0"/>
        <v>0.79862539813163835</v>
      </c>
      <c r="AD5">
        <f t="shared" si="0"/>
        <v>0.77250110872224598</v>
      </c>
      <c r="AE5">
        <f t="shared" si="0"/>
        <v>0.73987738492292043</v>
      </c>
      <c r="AF5">
        <f t="shared" si="0"/>
        <v>1.2135283176137031</v>
      </c>
    </row>
    <row r="6" spans="1:43" x14ac:dyDescent="0.45">
      <c r="A6" t="s">
        <v>5</v>
      </c>
      <c r="B6">
        <v>1993</v>
      </c>
      <c r="C6">
        <v>0.63192071898715962</v>
      </c>
      <c r="D6">
        <v>1989</v>
      </c>
      <c r="E6">
        <v>2004</v>
      </c>
      <c r="F6">
        <f>COUNTIFS($A$2:A6, A6)</f>
        <v>5</v>
      </c>
      <c r="H6" t="s">
        <v>8</v>
      </c>
      <c r="I6">
        <f t="shared" si="1"/>
        <v>0.51093567610739077</v>
      </c>
      <c r="J6">
        <f t="shared" si="0"/>
        <v>0.50206252713851496</v>
      </c>
      <c r="K6">
        <f t="shared" si="0"/>
        <v>0.49659135177249708</v>
      </c>
      <c r="L6">
        <f t="shared" si="0"/>
        <v>0.52533890375786063</v>
      </c>
      <c r="M6">
        <f t="shared" si="0"/>
        <v>0.55912391044957221</v>
      </c>
      <c r="N6">
        <f t="shared" si="0"/>
        <v>0.56696262723827917</v>
      </c>
      <c r="O6">
        <f t="shared" si="0"/>
        <v>0.56876916701201818</v>
      </c>
      <c r="P6">
        <f t="shared" si="0"/>
        <v>0.60605561954911968</v>
      </c>
      <c r="Q6">
        <f t="shared" si="0"/>
        <v>0.66069175835627858</v>
      </c>
      <c r="R6">
        <f t="shared" si="0"/>
        <v>0.75835000769585958</v>
      </c>
      <c r="S6">
        <f t="shared" si="0"/>
        <v>0.77899492460704645</v>
      </c>
      <c r="T6">
        <f t="shared" si="0"/>
        <v>0.73857060185185186</v>
      </c>
      <c r="U6">
        <f t="shared" si="0"/>
        <v>0.76997675769901219</v>
      </c>
      <c r="V6">
        <f t="shared" si="0"/>
        <v>0.86033020264839022</v>
      </c>
      <c r="W6">
        <f t="shared" si="0"/>
        <v>0.88101074265208945</v>
      </c>
      <c r="X6">
        <f t="shared" si="0"/>
        <v>0.86053063497413507</v>
      </c>
      <c r="Y6">
        <f t="shared" si="0"/>
        <v>0.9650639173415746</v>
      </c>
      <c r="Z6">
        <f t="shared" si="0"/>
        <v>0.85487554796959619</v>
      </c>
      <c r="AA6">
        <f t="shared" si="0"/>
        <v>0.83783297161042924</v>
      </c>
      <c r="AB6">
        <f t="shared" si="0"/>
        <v>0.88963808637513053</v>
      </c>
      <c r="AC6">
        <f t="shared" si="0"/>
        <v>0.96110975381738872</v>
      </c>
      <c r="AD6">
        <f t="shared" si="0"/>
        <v>1.0437436454668381</v>
      </c>
    </row>
    <row r="7" spans="1:43" x14ac:dyDescent="0.45">
      <c r="A7" t="s">
        <v>5</v>
      </c>
      <c r="B7">
        <v>1994</v>
      </c>
      <c r="C7">
        <v>0.66673423984454916</v>
      </c>
      <c r="D7">
        <v>1989</v>
      </c>
      <c r="E7">
        <v>2004</v>
      </c>
      <c r="F7">
        <f>COUNTIFS($A$2:A7, A7)</f>
        <v>6</v>
      </c>
      <c r="H7" t="s">
        <v>9</v>
      </c>
      <c r="I7">
        <f t="shared" si="1"/>
        <v>0.54842236468279304</v>
      </c>
      <c r="J7">
        <f t="shared" si="0"/>
        <v>0.49720322566294961</v>
      </c>
      <c r="K7">
        <f t="shared" si="0"/>
        <v>0.47898526667497487</v>
      </c>
      <c r="L7">
        <f t="shared" si="0"/>
        <v>0.5079713501902775</v>
      </c>
      <c r="M7">
        <f t="shared" si="0"/>
        <v>0.50341352898475522</v>
      </c>
      <c r="N7">
        <f t="shared" si="0"/>
        <v>0.41882101859116561</v>
      </c>
      <c r="O7">
        <f t="shared" si="0"/>
        <v>0.39331497710369562</v>
      </c>
      <c r="P7">
        <f t="shared" si="0"/>
        <v>0.34261036144715917</v>
      </c>
      <c r="Q7">
        <f t="shared" si="0"/>
        <v>0.30291791768202841</v>
      </c>
      <c r="R7">
        <f t="shared" si="0"/>
        <v>0.30371747113179259</v>
      </c>
      <c r="S7">
        <f t="shared" si="0"/>
        <v>0.31016248317994238</v>
      </c>
      <c r="T7">
        <f t="shared" si="0"/>
        <v>0.31566000619137358</v>
      </c>
      <c r="U7">
        <f t="shared" si="0"/>
        <v>0.34342844281039192</v>
      </c>
      <c r="V7">
        <f t="shared" si="0"/>
        <v>0.34095558531002518</v>
      </c>
      <c r="W7">
        <f t="shared" si="0"/>
        <v>1.320609356210855</v>
      </c>
    </row>
    <row r="8" spans="1:43" x14ac:dyDescent="0.45">
      <c r="A8" t="s">
        <v>5</v>
      </c>
      <c r="B8">
        <v>1995</v>
      </c>
      <c r="C8">
        <v>0.69667949673680374</v>
      </c>
      <c r="D8">
        <v>1989</v>
      </c>
      <c r="E8">
        <v>2004</v>
      </c>
      <c r="F8">
        <f>COUNTIFS($A$2:A8, A8)</f>
        <v>7</v>
      </c>
      <c r="H8" t="s">
        <v>10</v>
      </c>
      <c r="I8">
        <f t="shared" si="1"/>
        <v>0.5167853896220902</v>
      </c>
      <c r="J8">
        <f t="shared" si="0"/>
        <v>0.52794989787292479</v>
      </c>
      <c r="K8">
        <f t="shared" si="0"/>
        <v>0.54854407626611446</v>
      </c>
      <c r="L8">
        <f t="shared" si="0"/>
        <v>0.575947624435595</v>
      </c>
      <c r="M8">
        <f t="shared" si="0"/>
        <v>0.63144843341891521</v>
      </c>
      <c r="N8">
        <f t="shared" si="0"/>
        <v>0.71586650872068813</v>
      </c>
      <c r="O8">
        <f t="shared" si="0"/>
        <v>0.68116983183740698</v>
      </c>
      <c r="P8">
        <f t="shared" si="0"/>
        <v>0.7131707190872052</v>
      </c>
      <c r="Q8">
        <f t="shared" si="0"/>
        <v>0.76246487090792936</v>
      </c>
      <c r="R8">
        <f t="shared" si="0"/>
        <v>0.78085553591809864</v>
      </c>
      <c r="S8">
        <f t="shared" si="0"/>
        <v>0.79124761232883145</v>
      </c>
      <c r="T8">
        <f t="shared" si="0"/>
        <v>0.86967129499983253</v>
      </c>
      <c r="U8">
        <f t="shared" si="0"/>
        <v>0.80738785714192918</v>
      </c>
      <c r="V8">
        <f t="shared" si="0"/>
        <v>0.80558228883886074</v>
      </c>
      <c r="W8">
        <f t="shared" si="0"/>
        <v>0.87240326094137</v>
      </c>
      <c r="X8">
        <f t="shared" si="0"/>
        <v>0.95054519756745437</v>
      </c>
      <c r="Y8">
        <f t="shared" si="0"/>
        <v>1.0089026494511499</v>
      </c>
    </row>
    <row r="9" spans="1:43" x14ac:dyDescent="0.45">
      <c r="A9" t="s">
        <v>5</v>
      </c>
      <c r="B9">
        <v>1996</v>
      </c>
      <c r="C9">
        <v>0.7138637677028693</v>
      </c>
      <c r="D9">
        <v>1989</v>
      </c>
      <c r="E9">
        <v>2004</v>
      </c>
      <c r="F9">
        <f>COUNTIFS($A$2:A9, A9)</f>
        <v>8</v>
      </c>
      <c r="H9" t="s">
        <v>11</v>
      </c>
      <c r="I9">
        <f t="shared" si="1"/>
        <v>0.56573908711533671</v>
      </c>
      <c r="J9">
        <f t="shared" si="0"/>
        <v>0.76224565278598466</v>
      </c>
      <c r="K9">
        <f t="shared" si="0"/>
        <v>0.83747613043474811</v>
      </c>
      <c r="L9">
        <f t="shared" si="0"/>
        <v>0.89668872626034357</v>
      </c>
      <c r="M9">
        <f t="shared" si="0"/>
        <v>1.0138303498408141</v>
      </c>
    </row>
    <row r="10" spans="1:43" x14ac:dyDescent="0.45">
      <c r="A10" t="s">
        <v>5</v>
      </c>
      <c r="B10">
        <v>1997</v>
      </c>
      <c r="C10">
        <v>0.75201469832278989</v>
      </c>
      <c r="D10">
        <v>1989</v>
      </c>
      <c r="E10">
        <v>2004</v>
      </c>
      <c r="F10">
        <f>COUNTIFS($A$2:A10, A10)</f>
        <v>9</v>
      </c>
      <c r="H10" t="s">
        <v>12</v>
      </c>
      <c r="I10">
        <f t="shared" si="1"/>
        <v>0.52654566183474927</v>
      </c>
      <c r="J10">
        <f t="shared" si="0"/>
        <v>0.55436378252554908</v>
      </c>
      <c r="K10">
        <f t="shared" si="0"/>
        <v>0.60284482644976733</v>
      </c>
      <c r="L10">
        <f t="shared" si="0"/>
        <v>0.6373274705337626</v>
      </c>
      <c r="M10">
        <f t="shared" si="0"/>
        <v>0.69254733824833314</v>
      </c>
      <c r="N10">
        <f t="shared" si="0"/>
        <v>0.73413899028699359</v>
      </c>
      <c r="O10">
        <f t="shared" si="0"/>
        <v>0.76282884009857854</v>
      </c>
      <c r="P10">
        <f t="shared" si="0"/>
        <v>0.80105326558663181</v>
      </c>
      <c r="Q10">
        <f t="shared" si="0"/>
        <v>0.86308636201061983</v>
      </c>
      <c r="R10">
        <f t="shared" si="0"/>
        <v>0.8813321498615444</v>
      </c>
      <c r="S10">
        <f t="shared" si="0"/>
        <v>0.89533783612860807</v>
      </c>
      <c r="T10">
        <f t="shared" si="0"/>
        <v>0.92075477347812618</v>
      </c>
      <c r="U10">
        <f t="shared" si="0"/>
        <v>0.93313414939777983</v>
      </c>
      <c r="V10">
        <f t="shared" si="0"/>
        <v>0.9336620436715164</v>
      </c>
      <c r="W10">
        <f t="shared" si="0"/>
        <v>0.9498506127730838</v>
      </c>
      <c r="X10">
        <f t="shared" si="0"/>
        <v>0.94784370262890727</v>
      </c>
      <c r="Y10">
        <f t="shared" si="0"/>
        <v>0.94031757051436093</v>
      </c>
      <c r="Z10">
        <f t="shared" si="0"/>
        <v>0.948815247622949</v>
      </c>
      <c r="AA10">
        <f t="shared" ref="AA10:AP36" si="2">IFERROR(AVERAGEIFS($C$2:$C$604,$A$2:$A$604,$H10,$F$2:$F$604,AA$2),"")</f>
        <v>0.95919385539036883</v>
      </c>
      <c r="AB10">
        <f t="shared" si="2"/>
        <v>1.0173825125747189</v>
      </c>
    </row>
    <row r="11" spans="1:43" x14ac:dyDescent="0.45">
      <c r="A11" t="s">
        <v>5</v>
      </c>
      <c r="B11">
        <v>1998</v>
      </c>
      <c r="C11">
        <v>0.78974896120815985</v>
      </c>
      <c r="D11">
        <v>1989</v>
      </c>
      <c r="E11">
        <v>2004</v>
      </c>
      <c r="F11">
        <f>COUNTIFS($A$2:A11, A11)</f>
        <v>10</v>
      </c>
      <c r="H11" t="s">
        <v>13</v>
      </c>
      <c r="I11">
        <f t="shared" si="1"/>
        <v>0.55299121247525207</v>
      </c>
      <c r="J11">
        <f t="shared" ref="J10:AQ36" si="3">IFERROR(AVERAGEIFS($C$2:$C$604,$A$2:$A$604,$H11,$F$2:$F$604,J$2),"")</f>
        <v>0.54742556018428878</v>
      </c>
      <c r="K11">
        <f t="shared" si="3"/>
        <v>0.61113471696766108</v>
      </c>
      <c r="L11">
        <f t="shared" si="3"/>
        <v>0.69191584794394245</v>
      </c>
      <c r="M11">
        <f t="shared" si="3"/>
        <v>0.79066688970757459</v>
      </c>
      <c r="N11">
        <f t="shared" si="3"/>
        <v>0.78749678277384616</v>
      </c>
      <c r="O11">
        <f t="shared" si="3"/>
        <v>0.85911350888126714</v>
      </c>
      <c r="P11">
        <f t="shared" si="3"/>
        <v>0.89605567220232984</v>
      </c>
      <c r="Q11">
        <f t="shared" si="3"/>
        <v>0.83461549549488778</v>
      </c>
      <c r="R11">
        <f t="shared" si="3"/>
        <v>0.75388073263419841</v>
      </c>
      <c r="S11">
        <f t="shared" si="3"/>
        <v>0.76801255594226925</v>
      </c>
      <c r="T11">
        <f t="shared" si="3"/>
        <v>0.74888746535104778</v>
      </c>
      <c r="U11">
        <f t="shared" si="3"/>
        <v>0.72596975982595946</v>
      </c>
      <c r="V11">
        <f t="shared" si="3"/>
        <v>0.78765928937683072</v>
      </c>
      <c r="W11">
        <f t="shared" si="3"/>
        <v>0.84425144937718277</v>
      </c>
      <c r="X11">
        <f t="shared" si="3"/>
        <v>0.8620668121691315</v>
      </c>
      <c r="Y11">
        <f t="shared" si="3"/>
        <v>0.92796324740404657</v>
      </c>
      <c r="Z11">
        <f t="shared" si="3"/>
        <v>1.041138811666886</v>
      </c>
    </row>
    <row r="12" spans="1:43" x14ac:dyDescent="0.45">
      <c r="A12" t="s">
        <v>5</v>
      </c>
      <c r="B12">
        <v>1999</v>
      </c>
      <c r="C12">
        <v>0.83904699406180905</v>
      </c>
      <c r="D12">
        <v>1989</v>
      </c>
      <c r="E12">
        <v>2004</v>
      </c>
      <c r="F12">
        <f>COUNTIFS($A$2:A12, A12)</f>
        <v>11</v>
      </c>
      <c r="H12" t="s">
        <v>14</v>
      </c>
      <c r="I12">
        <f t="shared" si="1"/>
        <v>0.51696591000447067</v>
      </c>
      <c r="J12">
        <f t="shared" si="3"/>
        <v>0.54871832741520321</v>
      </c>
      <c r="K12">
        <f t="shared" si="3"/>
        <v>0.58731960937714545</v>
      </c>
      <c r="L12">
        <f t="shared" si="3"/>
        <v>0.63877542809832655</v>
      </c>
      <c r="M12">
        <f t="shared" si="3"/>
        <v>0.7365739571979808</v>
      </c>
      <c r="N12">
        <f t="shared" si="3"/>
        <v>0.77545437417718599</v>
      </c>
      <c r="O12">
        <f t="shared" si="3"/>
        <v>0.85798423742853747</v>
      </c>
      <c r="P12">
        <f t="shared" si="3"/>
        <v>0.90507313655528487</v>
      </c>
      <c r="Q12">
        <f t="shared" si="3"/>
        <v>0.89224425156619969</v>
      </c>
      <c r="R12">
        <f t="shared" si="3"/>
        <v>1.128142773368531</v>
      </c>
    </row>
    <row r="13" spans="1:43" x14ac:dyDescent="0.45">
      <c r="A13" t="s">
        <v>5</v>
      </c>
      <c r="B13">
        <v>2000</v>
      </c>
      <c r="C13">
        <v>0.87381032864698427</v>
      </c>
      <c r="D13">
        <v>1989</v>
      </c>
      <c r="E13">
        <v>2004</v>
      </c>
      <c r="F13">
        <f>COUNTIFS($A$2:A13, A13)</f>
        <v>12</v>
      </c>
      <c r="H13" t="s">
        <v>15</v>
      </c>
      <c r="I13">
        <f t="shared" si="1"/>
        <v>0.59566198142174664</v>
      </c>
      <c r="J13">
        <f t="shared" si="3"/>
        <v>0.62709508746303966</v>
      </c>
      <c r="K13">
        <f t="shared" si="3"/>
        <v>0.63352524775379104</v>
      </c>
      <c r="L13">
        <f t="shared" si="3"/>
        <v>0.77510483742144232</v>
      </c>
      <c r="M13">
        <f t="shared" si="3"/>
        <v>0.81130872964307021</v>
      </c>
      <c r="N13">
        <f t="shared" si="3"/>
        <v>0.86629680130370912</v>
      </c>
      <c r="O13">
        <f t="shared" si="3"/>
        <v>0.83777606154099815</v>
      </c>
      <c r="P13">
        <f t="shared" si="3"/>
        <v>0.87168824468182027</v>
      </c>
      <c r="Q13">
        <f t="shared" si="3"/>
        <v>0.91741683932445905</v>
      </c>
      <c r="R13">
        <f t="shared" si="3"/>
        <v>0.93856909918730169</v>
      </c>
      <c r="S13">
        <f t="shared" si="3"/>
        <v>0.9952545276758693</v>
      </c>
      <c r="T13">
        <f t="shared" si="3"/>
        <v>1.096207220762961</v>
      </c>
    </row>
    <row r="14" spans="1:43" x14ac:dyDescent="0.45">
      <c r="A14" t="s">
        <v>5</v>
      </c>
      <c r="B14">
        <v>2001</v>
      </c>
      <c r="C14">
        <v>0.88189283033562649</v>
      </c>
      <c r="D14">
        <v>1989</v>
      </c>
      <c r="E14">
        <v>2004</v>
      </c>
      <c r="F14">
        <f>COUNTIFS($A$2:A14, A14)</f>
        <v>13</v>
      </c>
      <c r="H14" t="s">
        <v>16</v>
      </c>
      <c r="I14">
        <f t="shared" si="1"/>
        <v>0.52217992148491588</v>
      </c>
      <c r="J14">
        <f t="shared" si="3"/>
        <v>0.52643576791457636</v>
      </c>
      <c r="K14">
        <f t="shared" si="3"/>
        <v>0.507821318840323</v>
      </c>
      <c r="L14">
        <f t="shared" si="3"/>
        <v>0.54539584726848556</v>
      </c>
      <c r="M14">
        <f t="shared" si="3"/>
        <v>0.58138824733890249</v>
      </c>
      <c r="N14">
        <f t="shared" si="3"/>
        <v>0.57333967564739219</v>
      </c>
      <c r="O14">
        <f t="shared" si="3"/>
        <v>0.55959341672520557</v>
      </c>
      <c r="P14">
        <f t="shared" si="3"/>
        <v>0.57808062161479778</v>
      </c>
      <c r="Q14">
        <f t="shared" si="3"/>
        <v>0.60852693120303114</v>
      </c>
      <c r="R14">
        <f t="shared" si="3"/>
        <v>0.60543868398391398</v>
      </c>
      <c r="S14">
        <f t="shared" si="3"/>
        <v>0.70361724695728833</v>
      </c>
      <c r="T14">
        <f t="shared" si="3"/>
        <v>0.7163034337869143</v>
      </c>
      <c r="U14">
        <f t="shared" si="3"/>
        <v>0.72731357243877237</v>
      </c>
      <c r="V14">
        <f t="shared" si="3"/>
        <v>0.77133525523308055</v>
      </c>
      <c r="W14">
        <f t="shared" si="3"/>
        <v>0.82278448973122253</v>
      </c>
      <c r="X14">
        <f t="shared" si="3"/>
        <v>0.87992444613680965</v>
      </c>
      <c r="Y14">
        <f t="shared" si="3"/>
        <v>0.97029268040241912</v>
      </c>
      <c r="Z14">
        <f t="shared" si="3"/>
        <v>0.98590103049597633</v>
      </c>
      <c r="AA14">
        <f t="shared" si="3"/>
        <v>0.98153560436856213</v>
      </c>
      <c r="AB14">
        <f t="shared" si="3"/>
        <v>1.0347021628773749</v>
      </c>
    </row>
    <row r="15" spans="1:43" x14ac:dyDescent="0.45">
      <c r="A15" t="s">
        <v>5</v>
      </c>
      <c r="B15">
        <v>2002</v>
      </c>
      <c r="C15">
        <v>0.91068540133500075</v>
      </c>
      <c r="D15">
        <v>1989</v>
      </c>
      <c r="E15">
        <v>2004</v>
      </c>
      <c r="F15">
        <f>COUNTIFS($A$2:A15, A15)</f>
        <v>14</v>
      </c>
      <c r="H15" t="s">
        <v>17</v>
      </c>
      <c r="I15">
        <f t="shared" si="1"/>
        <v>0.50968485498628247</v>
      </c>
      <c r="J15">
        <f t="shared" si="3"/>
        <v>0.54209467472687978</v>
      </c>
      <c r="K15">
        <f t="shared" si="3"/>
        <v>0.53603607503112671</v>
      </c>
      <c r="L15">
        <f t="shared" si="3"/>
        <v>0.52463711502813026</v>
      </c>
      <c r="M15">
        <f t="shared" si="3"/>
        <v>0.54149668194877532</v>
      </c>
      <c r="N15">
        <f t="shared" si="3"/>
        <v>0.57366147551916324</v>
      </c>
      <c r="O15">
        <f t="shared" si="3"/>
        <v>0.57417862658447061</v>
      </c>
      <c r="P15">
        <f t="shared" si="3"/>
        <v>0.66697625761324442</v>
      </c>
      <c r="Q15">
        <f t="shared" si="3"/>
        <v>0.68000376475737834</v>
      </c>
      <c r="R15">
        <f t="shared" si="3"/>
        <v>0.69018577469197895</v>
      </c>
      <c r="S15">
        <f t="shared" si="3"/>
        <v>0.7328602428445421</v>
      </c>
      <c r="T15">
        <f t="shared" si="3"/>
        <v>0.77760092179956064</v>
      </c>
      <c r="U15">
        <f t="shared" si="3"/>
        <v>0.83052059424806757</v>
      </c>
      <c r="V15">
        <f t="shared" si="3"/>
        <v>0.91496572867834447</v>
      </c>
      <c r="W15">
        <f t="shared" si="3"/>
        <v>0.93118922947277782</v>
      </c>
      <c r="X15">
        <f t="shared" si="3"/>
        <v>0.92885775407510029</v>
      </c>
      <c r="Y15">
        <f t="shared" si="3"/>
        <v>0.97765842284505278</v>
      </c>
      <c r="Z15">
        <f t="shared" si="3"/>
        <v>0.99450323267807139</v>
      </c>
      <c r="AA15">
        <f t="shared" si="3"/>
        <v>1.129320663438925</v>
      </c>
    </row>
    <row r="16" spans="1:43" x14ac:dyDescent="0.45">
      <c r="A16" t="s">
        <v>5</v>
      </c>
      <c r="B16">
        <v>2003</v>
      </c>
      <c r="C16">
        <v>0.98970070138355193</v>
      </c>
      <c r="D16">
        <v>1989</v>
      </c>
      <c r="E16">
        <v>2004</v>
      </c>
      <c r="F16">
        <f>COUNTIFS($A$2:A16, A16)</f>
        <v>15</v>
      </c>
      <c r="H16" t="s">
        <v>18</v>
      </c>
      <c r="I16">
        <f t="shared" si="1"/>
        <v>0.63789220262941726</v>
      </c>
      <c r="J16">
        <f t="shared" si="3"/>
        <v>0.61405869678169789</v>
      </c>
      <c r="K16">
        <f t="shared" si="3"/>
        <v>0.69988926929005313</v>
      </c>
      <c r="L16">
        <f t="shared" si="3"/>
        <v>0.92357949748270007</v>
      </c>
      <c r="M16">
        <f t="shared" si="3"/>
        <v>0.94088912065708352</v>
      </c>
      <c r="N16">
        <f t="shared" si="3"/>
        <v>0.99511216813059533</v>
      </c>
      <c r="O16">
        <f t="shared" si="3"/>
        <v>1.2368039991882369</v>
      </c>
    </row>
    <row r="17" spans="1:43" x14ac:dyDescent="0.45">
      <c r="A17" t="s">
        <v>5</v>
      </c>
      <c r="B17">
        <v>2004</v>
      </c>
      <c r="C17">
        <v>1.0244769376009939</v>
      </c>
      <c r="D17">
        <v>1989</v>
      </c>
      <c r="E17">
        <v>2004</v>
      </c>
      <c r="F17">
        <f>COUNTIFS($A$2:A17, A17)</f>
        <v>16</v>
      </c>
      <c r="H17" t="s">
        <v>19</v>
      </c>
      <c r="I17">
        <f t="shared" si="1"/>
        <v>0.55489547672368578</v>
      </c>
      <c r="J17">
        <f t="shared" si="3"/>
        <v>0.6156088863701592</v>
      </c>
      <c r="K17">
        <f t="shared" si="3"/>
        <v>0.6546272053235479</v>
      </c>
      <c r="L17">
        <f t="shared" si="3"/>
        <v>0.73816426973472704</v>
      </c>
      <c r="M17">
        <f t="shared" si="3"/>
        <v>0.84323673857974912</v>
      </c>
      <c r="N17">
        <f t="shared" si="3"/>
        <v>1.037327699600874</v>
      </c>
    </row>
    <row r="18" spans="1:43" x14ac:dyDescent="0.45">
      <c r="A18" t="s">
        <v>6</v>
      </c>
      <c r="B18">
        <v>1975</v>
      </c>
      <c r="C18">
        <v>0.52595593886279046</v>
      </c>
      <c r="D18">
        <v>1975</v>
      </c>
      <c r="E18">
        <v>1988</v>
      </c>
      <c r="F18">
        <f>COUNTIFS($A$2:A18, A18)</f>
        <v>1</v>
      </c>
      <c r="H18" t="s">
        <v>20</v>
      </c>
      <c r="I18">
        <f t="shared" si="1"/>
        <v>0.50146287165566039</v>
      </c>
      <c r="J18">
        <f t="shared" si="3"/>
        <v>0.54801784828600075</v>
      </c>
      <c r="K18">
        <f t="shared" si="3"/>
        <v>0.59608694098226811</v>
      </c>
      <c r="L18">
        <f t="shared" si="3"/>
        <v>0.64488125567533716</v>
      </c>
      <c r="M18">
        <f t="shared" si="3"/>
        <v>0.69186672361226909</v>
      </c>
      <c r="N18">
        <f t="shared" si="3"/>
        <v>0.99608241094077699</v>
      </c>
      <c r="O18">
        <f t="shared" si="3"/>
        <v>1.087053820502901</v>
      </c>
    </row>
    <row r="19" spans="1:43" x14ac:dyDescent="0.45">
      <c r="A19" t="s">
        <v>6</v>
      </c>
      <c r="B19">
        <v>1976</v>
      </c>
      <c r="C19">
        <v>0.54468794976741619</v>
      </c>
      <c r="D19">
        <v>1975</v>
      </c>
      <c r="E19">
        <v>1988</v>
      </c>
      <c r="F19">
        <f>COUNTIFS($A$2:A19, A19)</f>
        <v>2</v>
      </c>
      <c r="H19" t="s">
        <v>21</v>
      </c>
      <c r="I19">
        <f t="shared" si="1"/>
        <v>0.52439232373121691</v>
      </c>
      <c r="J19">
        <f t="shared" si="1"/>
        <v>0.72187436929557069</v>
      </c>
      <c r="K19">
        <f t="shared" si="1"/>
        <v>0.71785041493216961</v>
      </c>
      <c r="L19">
        <f t="shared" si="1"/>
        <v>0.72431307814084178</v>
      </c>
      <c r="M19">
        <f t="shared" si="1"/>
        <v>0.73427039631376412</v>
      </c>
      <c r="N19">
        <f t="shared" si="1"/>
        <v>0.935456050393077</v>
      </c>
      <c r="O19">
        <f t="shared" si="1"/>
        <v>0.83021432107030046</v>
      </c>
      <c r="P19">
        <f t="shared" si="1"/>
        <v>0.90845633112409641</v>
      </c>
      <c r="Q19">
        <f t="shared" si="1"/>
        <v>0.7370815568723752</v>
      </c>
      <c r="R19">
        <f t="shared" si="1"/>
        <v>0.26730143355171038</v>
      </c>
      <c r="S19">
        <f t="shared" si="1"/>
        <v>0.17724190891200711</v>
      </c>
      <c r="T19">
        <f t="shared" si="1"/>
        <v>0.1716249624047422</v>
      </c>
      <c r="U19">
        <f t="shared" si="1"/>
        <v>0.23078591724061989</v>
      </c>
      <c r="V19">
        <f t="shared" si="1"/>
        <v>0.30026251247858621</v>
      </c>
      <c r="W19">
        <f t="shared" si="1"/>
        <v>0.33652204346119979</v>
      </c>
      <c r="X19">
        <f t="shared" si="1"/>
        <v>0.46967968979113039</v>
      </c>
      <c r="Y19">
        <f t="shared" ref="Y19:AN36" si="4">IFERROR(AVERAGEIFS($C$2:$C$604,$A$2:$A$604,$H19,$F$2:$F$604,Y$2),"")</f>
        <v>0.60729779295516351</v>
      </c>
      <c r="Z19">
        <f t="shared" si="4"/>
        <v>0.54692083710481254</v>
      </c>
      <c r="AA19">
        <f t="shared" si="4"/>
        <v>0.45389488604444139</v>
      </c>
      <c r="AB19">
        <f t="shared" si="4"/>
        <v>0.56630542056074762</v>
      </c>
      <c r="AC19">
        <f t="shared" si="4"/>
        <v>0.58337066436583263</v>
      </c>
      <c r="AD19">
        <f t="shared" si="4"/>
        <v>0.59464569081529661</v>
      </c>
      <c r="AE19">
        <f t="shared" si="4"/>
        <v>0.5636454354986955</v>
      </c>
      <c r="AF19">
        <f t="shared" si="4"/>
        <v>0.50932667039655499</v>
      </c>
      <c r="AG19">
        <f t="shared" si="4"/>
        <v>0.49954142418432618</v>
      </c>
      <c r="AH19">
        <f t="shared" si="4"/>
        <v>0.59579387733804778</v>
      </c>
      <c r="AI19">
        <f t="shared" si="4"/>
        <v>0.57264928141989613</v>
      </c>
      <c r="AJ19">
        <f t="shared" si="4"/>
        <v>0.79071926994182884</v>
      </c>
      <c r="AK19">
        <f t="shared" si="4"/>
        <v>0.7463938306575284</v>
      </c>
      <c r="AL19">
        <f t="shared" si="4"/>
        <v>0.60806258189383777</v>
      </c>
      <c r="AM19">
        <f t="shared" si="4"/>
        <v>0.55743368272945515</v>
      </c>
      <c r="AN19">
        <f t="shared" si="4"/>
        <v>0.59751887354110966</v>
      </c>
      <c r="AO19">
        <f t="shared" ref="Z18:AO36" si="5">IFERROR(AVERAGEIFS($C$2:$C$604,$A$2:$A$604,$H19,$F$2:$F$604,AO$2),"")</f>
        <v>0.67640715737781454</v>
      </c>
      <c r="AP19">
        <f t="shared" ref="AP18:AQ36" si="6">IFERROR(AVERAGEIFS($C$2:$C$604,$A$2:$A$604,$H19,$F$2:$F$604,AP$2),"")</f>
        <v>0.98510790393407599</v>
      </c>
      <c r="AQ19">
        <f t="shared" si="6"/>
        <v>1.051868128345617</v>
      </c>
    </row>
    <row r="20" spans="1:43" x14ac:dyDescent="0.45">
      <c r="A20" t="s">
        <v>6</v>
      </c>
      <c r="B20">
        <v>1977</v>
      </c>
      <c r="C20">
        <v>0.54392780964823195</v>
      </c>
      <c r="D20">
        <v>1975</v>
      </c>
      <c r="E20">
        <v>1988</v>
      </c>
      <c r="F20">
        <f>COUNTIFS($A$2:A20, A20)</f>
        <v>3</v>
      </c>
      <c r="H20" t="s">
        <v>22</v>
      </c>
      <c r="I20">
        <f t="shared" si="1"/>
        <v>0.54550737382668524</v>
      </c>
      <c r="J20">
        <f t="shared" si="1"/>
        <v>0.65548293858870854</v>
      </c>
      <c r="K20">
        <f t="shared" si="1"/>
        <v>0.79377498363157328</v>
      </c>
      <c r="L20">
        <f t="shared" si="1"/>
        <v>0.45735857244855932</v>
      </c>
      <c r="M20">
        <f t="shared" si="1"/>
        <v>0.48948358208563719</v>
      </c>
      <c r="N20">
        <f t="shared" si="1"/>
        <v>0.42968591913577397</v>
      </c>
      <c r="O20">
        <f t="shared" si="1"/>
        <v>0.48816395863420731</v>
      </c>
      <c r="P20">
        <f t="shared" si="1"/>
        <v>0.54944632552265449</v>
      </c>
      <c r="Q20">
        <f t="shared" si="1"/>
        <v>0.60548535978399209</v>
      </c>
      <c r="R20">
        <f t="shared" si="1"/>
        <v>0.66139999999999999</v>
      </c>
      <c r="S20">
        <f t="shared" si="1"/>
        <v>0.73891315155455273</v>
      </c>
      <c r="T20">
        <f t="shared" si="1"/>
        <v>0.82267475117263478</v>
      </c>
      <c r="U20">
        <f t="shared" si="1"/>
        <v>0.87901614142966944</v>
      </c>
      <c r="V20">
        <f t="shared" si="1"/>
        <v>0.86022851129402023</v>
      </c>
      <c r="W20">
        <f t="shared" si="1"/>
        <v>0.82574567054585757</v>
      </c>
      <c r="X20">
        <f t="shared" si="1"/>
        <v>0.78642870355078442</v>
      </c>
      <c r="Y20">
        <f t="shared" si="4"/>
        <v>0.78125687195620552</v>
      </c>
      <c r="Z20">
        <f t="shared" si="4"/>
        <v>0.69669526446321384</v>
      </c>
      <c r="AA20">
        <f t="shared" si="4"/>
        <v>0.71811094223920502</v>
      </c>
      <c r="AB20">
        <f t="shared" si="4"/>
        <v>0.74106420124924055</v>
      </c>
      <c r="AC20">
        <f t="shared" si="4"/>
        <v>0.76275272711160935</v>
      </c>
      <c r="AD20">
        <f t="shared" si="4"/>
        <v>0.72044693613297706</v>
      </c>
      <c r="AE20">
        <f t="shared" si="4"/>
        <v>0.82528480012555017</v>
      </c>
      <c r="AF20">
        <f t="shared" si="4"/>
        <v>0.89987856569182023</v>
      </c>
      <c r="AG20">
        <f t="shared" si="4"/>
        <v>0.89955330272469625</v>
      </c>
      <c r="AH20">
        <f t="shared" si="4"/>
        <v>0.93317292930294249</v>
      </c>
      <c r="AI20">
        <f t="shared" si="4"/>
        <v>0.98225547584796746</v>
      </c>
      <c r="AJ20">
        <f t="shared" si="4"/>
        <v>1.0056612386642889</v>
      </c>
    </row>
    <row r="21" spans="1:43" x14ac:dyDescent="0.45">
      <c r="A21" t="s">
        <v>6</v>
      </c>
      <c r="B21">
        <v>1978</v>
      </c>
      <c r="C21">
        <v>0.50425107350479936</v>
      </c>
      <c r="D21">
        <v>1975</v>
      </c>
      <c r="E21">
        <v>1988</v>
      </c>
      <c r="F21">
        <f>COUNTIFS($A$2:A21, A21)</f>
        <v>4</v>
      </c>
      <c r="H21" t="s">
        <v>23</v>
      </c>
      <c r="I21">
        <f t="shared" si="1"/>
        <v>0.61304163020916791</v>
      </c>
      <c r="J21">
        <f t="shared" si="1"/>
        <v>0.48584998096944121</v>
      </c>
      <c r="K21">
        <f t="shared" si="1"/>
        <v>0.50852522355736307</v>
      </c>
      <c r="L21">
        <f t="shared" si="1"/>
        <v>0.47029400558373219</v>
      </c>
      <c r="M21">
        <f t="shared" si="1"/>
        <v>0.48474738827274921</v>
      </c>
      <c r="N21">
        <f t="shared" si="1"/>
        <v>0.4771907162837688</v>
      </c>
      <c r="O21">
        <f t="shared" si="1"/>
        <v>0.47063182248760599</v>
      </c>
      <c r="P21">
        <f t="shared" si="1"/>
        <v>0.51566496547700258</v>
      </c>
      <c r="Q21">
        <f t="shared" si="1"/>
        <v>0.51424305635376211</v>
      </c>
      <c r="R21">
        <f t="shared" si="1"/>
        <v>0.5159690231565961</v>
      </c>
      <c r="S21">
        <f t="shared" si="1"/>
        <v>0.55758839180508302</v>
      </c>
      <c r="T21">
        <f t="shared" si="1"/>
        <v>0.5948437090166272</v>
      </c>
      <c r="U21">
        <f t="shared" si="1"/>
        <v>0.58454989640884825</v>
      </c>
      <c r="V21">
        <f t="shared" si="1"/>
        <v>0.57193397793278289</v>
      </c>
      <c r="W21">
        <f t="shared" si="1"/>
        <v>0.58616922577575337</v>
      </c>
      <c r="X21">
        <f t="shared" si="1"/>
        <v>0.6126360869163302</v>
      </c>
      <c r="Y21">
        <f t="shared" si="4"/>
        <v>0.60384753641239575</v>
      </c>
      <c r="Z21">
        <f t="shared" si="4"/>
        <v>0.70071550425407847</v>
      </c>
      <c r="AA21">
        <f t="shared" si="4"/>
        <v>0.71713553254074658</v>
      </c>
      <c r="AB21">
        <f t="shared" si="4"/>
        <v>0.72825269607408472</v>
      </c>
      <c r="AC21">
        <f t="shared" si="4"/>
        <v>0.77581751930713438</v>
      </c>
      <c r="AD21">
        <f t="shared" si="4"/>
        <v>0.81968051937949193</v>
      </c>
      <c r="AE21">
        <f t="shared" si="4"/>
        <v>0.86460379953700739</v>
      </c>
      <c r="AF21">
        <f t="shared" si="4"/>
        <v>0.9483506070260036</v>
      </c>
      <c r="AG21">
        <f t="shared" si="4"/>
        <v>0.96584289080891039</v>
      </c>
      <c r="AH21">
        <f t="shared" si="4"/>
        <v>0.96776706626566533</v>
      </c>
      <c r="AI21">
        <f t="shared" si="4"/>
        <v>1.0231679513083041</v>
      </c>
    </row>
    <row r="22" spans="1:43" x14ac:dyDescent="0.45">
      <c r="A22" t="s">
        <v>6</v>
      </c>
      <c r="B22">
        <v>1979</v>
      </c>
      <c r="C22">
        <v>0.51012910632825104</v>
      </c>
      <c r="D22">
        <v>1975</v>
      </c>
      <c r="E22">
        <v>1988</v>
      </c>
      <c r="F22">
        <f>COUNTIFS($A$2:A22, A22)</f>
        <v>5</v>
      </c>
      <c r="H22" t="s">
        <v>24</v>
      </c>
      <c r="I22">
        <f t="shared" si="1"/>
        <v>0.52436948789703752</v>
      </c>
      <c r="J22">
        <f t="shared" si="1"/>
        <v>0.54615397232199547</v>
      </c>
      <c r="K22">
        <f t="shared" si="1"/>
        <v>0.56183173747937487</v>
      </c>
      <c r="L22">
        <f t="shared" si="1"/>
        <v>0.60548447393484695</v>
      </c>
      <c r="M22">
        <f t="shared" si="1"/>
        <v>0.64604439776495126</v>
      </c>
      <c r="N22">
        <f t="shared" si="1"/>
        <v>0.64574587612526468</v>
      </c>
      <c r="O22">
        <f t="shared" si="1"/>
        <v>0.72639419399779459</v>
      </c>
      <c r="P22">
        <f t="shared" si="1"/>
        <v>0.73410899364888627</v>
      </c>
      <c r="Q22">
        <f t="shared" si="1"/>
        <v>0.69402692235437524</v>
      </c>
      <c r="R22">
        <f t="shared" si="1"/>
        <v>0.7373678468555015</v>
      </c>
      <c r="S22">
        <f t="shared" si="1"/>
        <v>0.777284715491526</v>
      </c>
      <c r="T22">
        <f t="shared" si="1"/>
        <v>0.75408788728602372</v>
      </c>
      <c r="U22">
        <f t="shared" si="1"/>
        <v>0.72080675091327195</v>
      </c>
      <c r="V22">
        <f t="shared" si="1"/>
        <v>0.72433588163466001</v>
      </c>
      <c r="W22">
        <f t="shared" si="1"/>
        <v>0.75202596382151876</v>
      </c>
      <c r="X22">
        <f t="shared" si="1"/>
        <v>0.75534092020949084</v>
      </c>
      <c r="Y22">
        <f t="shared" si="4"/>
        <v>0.90795982418768095</v>
      </c>
      <c r="Z22">
        <f t="shared" si="4"/>
        <v>0.90697799581429839</v>
      </c>
      <c r="AA22">
        <f t="shared" si="4"/>
        <v>0.8981770898801783</v>
      </c>
      <c r="AB22">
        <f t="shared" si="4"/>
        <v>0.95244217072890858</v>
      </c>
      <c r="AC22">
        <f t="shared" si="4"/>
        <v>1.00370353273152</v>
      </c>
    </row>
    <row r="23" spans="1:43" x14ac:dyDescent="0.45">
      <c r="A23" t="s">
        <v>6</v>
      </c>
      <c r="B23">
        <v>1980</v>
      </c>
      <c r="C23">
        <v>0.42053738281601949</v>
      </c>
      <c r="D23">
        <v>1975</v>
      </c>
      <c r="E23">
        <v>1988</v>
      </c>
      <c r="F23">
        <f>COUNTIFS($A$2:A23, A23)</f>
        <v>6</v>
      </c>
      <c r="H23" t="s">
        <v>25</v>
      </c>
      <c r="I23">
        <f t="shared" si="1"/>
        <v>0.52428203415704611</v>
      </c>
      <c r="J23">
        <f t="shared" si="1"/>
        <v>0.63188618632400184</v>
      </c>
      <c r="K23">
        <f t="shared" si="1"/>
        <v>0.61091471857945756</v>
      </c>
      <c r="L23">
        <f t="shared" si="1"/>
        <v>0.56016835660991005</v>
      </c>
      <c r="M23">
        <f t="shared" si="1"/>
        <v>0.59636472314296585</v>
      </c>
      <c r="N23">
        <f t="shared" si="1"/>
        <v>0.63597552560150894</v>
      </c>
      <c r="O23">
        <f t="shared" si="1"/>
        <v>0.62642857142857145</v>
      </c>
      <c r="P23">
        <f t="shared" si="1"/>
        <v>0.65594266374676491</v>
      </c>
      <c r="Q23">
        <f t="shared" si="1"/>
        <v>0.66061665688251348</v>
      </c>
      <c r="R23">
        <f t="shared" si="1"/>
        <v>0.79743691987328591</v>
      </c>
      <c r="S23">
        <f t="shared" si="1"/>
        <v>0.79036804076514278</v>
      </c>
      <c r="T23">
        <f t="shared" si="1"/>
        <v>0.7426614655694489</v>
      </c>
      <c r="U23">
        <f t="shared" si="1"/>
        <v>0.77819463392451116</v>
      </c>
      <c r="V23">
        <f t="shared" si="1"/>
        <v>0.84350684080674942</v>
      </c>
      <c r="W23">
        <f t="shared" si="1"/>
        <v>0.78936586085449278</v>
      </c>
      <c r="X23">
        <f t="shared" si="1"/>
        <v>0.80481805672349216</v>
      </c>
      <c r="Y23">
        <f t="shared" si="4"/>
        <v>0.71969393198079734</v>
      </c>
      <c r="Z23">
        <f t="shared" si="4"/>
        <v>0.63403788648570181</v>
      </c>
      <c r="AA23">
        <f t="shared" si="4"/>
        <v>0.54579375211077341</v>
      </c>
      <c r="AB23">
        <f t="shared" si="4"/>
        <v>0.48219402240464421</v>
      </c>
      <c r="AC23">
        <f t="shared" si="4"/>
        <v>0.40720756131268893</v>
      </c>
      <c r="AD23">
        <f t="shared" si="4"/>
        <v>0.43901689678180977</v>
      </c>
      <c r="AE23">
        <f t="shared" si="4"/>
        <v>0.40915157040348188</v>
      </c>
      <c r="AF23">
        <f t="shared" si="4"/>
        <v>0.47311519020657172</v>
      </c>
      <c r="AG23">
        <f t="shared" si="4"/>
        <v>0.53282047450471126</v>
      </c>
      <c r="AH23">
        <f t="shared" si="4"/>
        <v>0.57455805008788874</v>
      </c>
      <c r="AI23">
        <f t="shared" si="4"/>
        <v>0.56866026741469633</v>
      </c>
      <c r="AJ23">
        <f t="shared" si="4"/>
        <v>0.56125321699575581</v>
      </c>
      <c r="AK23">
        <f t="shared" si="4"/>
        <v>0.57570931792564084</v>
      </c>
      <c r="AL23">
        <f t="shared" si="4"/>
        <v>0.62515084761809969</v>
      </c>
      <c r="AM23">
        <f t="shared" si="4"/>
        <v>0.77347359124031034</v>
      </c>
      <c r="AN23">
        <f t="shared" si="4"/>
        <v>1.085117040872345</v>
      </c>
    </row>
    <row r="24" spans="1:43" x14ac:dyDescent="0.45">
      <c r="A24" t="s">
        <v>6</v>
      </c>
      <c r="B24">
        <v>1981</v>
      </c>
      <c r="C24">
        <v>0.44691433818360049</v>
      </c>
      <c r="D24">
        <v>1975</v>
      </c>
      <c r="E24">
        <v>1988</v>
      </c>
      <c r="F24">
        <f>COUNTIFS($A$2:A24, A24)</f>
        <v>7</v>
      </c>
      <c r="H24" t="s">
        <v>26</v>
      </c>
      <c r="I24">
        <f t="shared" si="1"/>
        <v>0.51409686953438372</v>
      </c>
      <c r="J24">
        <f t="shared" si="1"/>
        <v>0.6323991334734389</v>
      </c>
      <c r="K24">
        <f t="shared" si="1"/>
        <v>0.50057895560290788</v>
      </c>
      <c r="L24">
        <f t="shared" si="1"/>
        <v>0.52215794301262175</v>
      </c>
      <c r="M24">
        <f t="shared" si="1"/>
        <v>0.47911084926459568</v>
      </c>
      <c r="N24">
        <f t="shared" si="1"/>
        <v>0.49160776571045189</v>
      </c>
      <c r="O24">
        <f t="shared" si="1"/>
        <v>0.48312986862666413</v>
      </c>
      <c r="P24">
        <f t="shared" si="1"/>
        <v>0.47639723059300948</v>
      </c>
      <c r="Q24">
        <f t="shared" si="1"/>
        <v>0.52275602602408322</v>
      </c>
      <c r="R24">
        <f t="shared" si="1"/>
        <v>0.52331731609077659</v>
      </c>
      <c r="S24">
        <f t="shared" si="1"/>
        <v>0.52437273926450745</v>
      </c>
      <c r="T24">
        <f t="shared" si="1"/>
        <v>0.56775773442700628</v>
      </c>
      <c r="U24">
        <f t="shared" si="1"/>
        <v>0.60565089119022286</v>
      </c>
      <c r="V24">
        <f t="shared" si="1"/>
        <v>0.59486949244209297</v>
      </c>
      <c r="W24">
        <f t="shared" si="1"/>
        <v>0.582139101698536</v>
      </c>
      <c r="X24">
        <f t="shared" si="1"/>
        <v>0.59683555573894653</v>
      </c>
      <c r="Y24">
        <f t="shared" si="4"/>
        <v>0.62338695614680661</v>
      </c>
      <c r="Z24">
        <f t="shared" si="4"/>
        <v>0.61355647683085457</v>
      </c>
      <c r="AA24">
        <f t="shared" si="4"/>
        <v>0.71087541822623013</v>
      </c>
      <c r="AB24">
        <f t="shared" si="4"/>
        <v>0.72676913860466064</v>
      </c>
      <c r="AC24">
        <f t="shared" si="4"/>
        <v>0.73873602743830924</v>
      </c>
      <c r="AD24">
        <f t="shared" si="4"/>
        <v>0.78437293201907987</v>
      </c>
      <c r="AE24">
        <f t="shared" si="4"/>
        <v>0.8290334166505402</v>
      </c>
      <c r="AF24">
        <f t="shared" si="4"/>
        <v>0.87317407511624734</v>
      </c>
      <c r="AG24">
        <f t="shared" si="4"/>
        <v>0.95746460094217301</v>
      </c>
      <c r="AH24">
        <f t="shared" si="4"/>
        <v>0.97404489181664333</v>
      </c>
      <c r="AI24">
        <f t="shared" si="4"/>
        <v>0.97574842720119037</v>
      </c>
      <c r="AJ24">
        <f t="shared" si="4"/>
        <v>1.0320185889313731</v>
      </c>
    </row>
    <row r="25" spans="1:43" x14ac:dyDescent="0.45">
      <c r="A25" t="s">
        <v>6</v>
      </c>
      <c r="B25">
        <v>1982</v>
      </c>
      <c r="C25">
        <v>0.45652572338875991</v>
      </c>
      <c r="D25">
        <v>1975</v>
      </c>
      <c r="E25">
        <v>1988</v>
      </c>
      <c r="F25">
        <f>COUNTIFS($A$2:A25, A25)</f>
        <v>8</v>
      </c>
      <c r="H25" t="s">
        <v>27</v>
      </c>
      <c r="I25">
        <f t="shared" si="1"/>
        <v>0.55659382992380857</v>
      </c>
      <c r="J25">
        <f t="shared" si="1"/>
        <v>0.55687331898231629</v>
      </c>
      <c r="K25">
        <f t="shared" si="1"/>
        <v>0.55751062977970578</v>
      </c>
      <c r="L25">
        <f t="shared" si="1"/>
        <v>0.56097409173755386</v>
      </c>
      <c r="M25">
        <f t="shared" si="1"/>
        <v>0.56928999286637272</v>
      </c>
      <c r="N25">
        <f t="shared" si="1"/>
        <v>0.69705877143237638</v>
      </c>
      <c r="O25">
        <f t="shared" si="1"/>
        <v>0.69965794528589309</v>
      </c>
      <c r="P25">
        <f t="shared" si="1"/>
        <v>0.71930314255040018</v>
      </c>
      <c r="Q25">
        <f t="shared" si="1"/>
        <v>0.67639908709286278</v>
      </c>
      <c r="R25">
        <f t="shared" si="1"/>
        <v>0.70643395873589587</v>
      </c>
      <c r="S25">
        <f t="shared" si="1"/>
        <v>0.80688165398608436</v>
      </c>
      <c r="T25">
        <f t="shared" si="1"/>
        <v>0.78904357086893606</v>
      </c>
      <c r="U25">
        <f t="shared" si="1"/>
        <v>0.84168399282852324</v>
      </c>
      <c r="V25">
        <f t="shared" si="1"/>
        <v>0.88087151069715997</v>
      </c>
      <c r="W25">
        <f t="shared" si="1"/>
        <v>0.97480597013077641</v>
      </c>
      <c r="X25">
        <f t="shared" si="1"/>
        <v>1.0369949226718429</v>
      </c>
    </row>
    <row r="26" spans="1:43" x14ac:dyDescent="0.45">
      <c r="A26" t="s">
        <v>6</v>
      </c>
      <c r="B26">
        <v>1983</v>
      </c>
      <c r="C26">
        <v>0.50476140831232341</v>
      </c>
      <c r="D26">
        <v>1975</v>
      </c>
      <c r="E26">
        <v>1988</v>
      </c>
      <c r="F26">
        <f>COUNTIFS($A$2:A26, A26)</f>
        <v>9</v>
      </c>
      <c r="H26" t="s">
        <v>28</v>
      </c>
      <c r="I26">
        <f t="shared" si="1"/>
        <v>0.57761442729939427</v>
      </c>
      <c r="J26">
        <f t="shared" si="1"/>
        <v>0.62732928184612691</v>
      </c>
      <c r="K26">
        <f t="shared" si="1"/>
        <v>0.69926892283232067</v>
      </c>
      <c r="L26">
        <f t="shared" si="1"/>
        <v>0.74890131992457587</v>
      </c>
      <c r="M26">
        <f t="shared" si="1"/>
        <v>0.88174648250935828</v>
      </c>
      <c r="N26">
        <f t="shared" si="1"/>
        <v>1.014660446406124</v>
      </c>
    </row>
    <row r="27" spans="1:43" x14ac:dyDescent="0.45">
      <c r="A27" t="s">
        <v>6</v>
      </c>
      <c r="B27">
        <v>1984</v>
      </c>
      <c r="C27">
        <v>0.50393230092926522</v>
      </c>
      <c r="D27">
        <v>1975</v>
      </c>
      <c r="E27">
        <v>1988</v>
      </c>
      <c r="F27">
        <f>COUNTIFS($A$2:A27, A27)</f>
        <v>10</v>
      </c>
      <c r="H27" t="s">
        <v>29</v>
      </c>
      <c r="I27">
        <f t="shared" si="1"/>
        <v>0.51652645529271457</v>
      </c>
      <c r="J27">
        <f t="shared" si="1"/>
        <v>0.59178454631817357</v>
      </c>
      <c r="K27">
        <f t="shared" si="1"/>
        <v>0.54589987785603056</v>
      </c>
      <c r="L27">
        <f t="shared" si="1"/>
        <v>0.46424653123095272</v>
      </c>
      <c r="M27">
        <f t="shared" si="1"/>
        <v>0.48754349653414081</v>
      </c>
      <c r="N27">
        <f t="shared" si="1"/>
        <v>0.50462270838435108</v>
      </c>
      <c r="O27">
        <f t="shared" si="1"/>
        <v>0.54467047603509933</v>
      </c>
      <c r="P27">
        <f t="shared" si="1"/>
        <v>0.56908274065370446</v>
      </c>
      <c r="Q27">
        <f t="shared" si="1"/>
        <v>0.69840800112115853</v>
      </c>
      <c r="R27">
        <f t="shared" si="1"/>
        <v>0.69189124341353225</v>
      </c>
      <c r="S27">
        <f t="shared" si="1"/>
        <v>0.7632460800765769</v>
      </c>
      <c r="T27">
        <f t="shared" si="1"/>
        <v>0.78945910898405369</v>
      </c>
      <c r="U27">
        <f t="shared" si="1"/>
        <v>0.88440039466326781</v>
      </c>
      <c r="V27">
        <f t="shared" si="1"/>
        <v>1.036513513754014</v>
      </c>
    </row>
    <row r="28" spans="1:43" x14ac:dyDescent="0.45">
      <c r="A28" t="s">
        <v>6</v>
      </c>
      <c r="B28">
        <v>1985</v>
      </c>
      <c r="C28">
        <v>0.44245833386532002</v>
      </c>
      <c r="D28">
        <v>1975</v>
      </c>
      <c r="E28">
        <v>1988</v>
      </c>
      <c r="F28">
        <f>COUNTIFS($A$2:A28, A28)</f>
        <v>11</v>
      </c>
      <c r="H28" t="s">
        <v>30</v>
      </c>
      <c r="I28">
        <f t="shared" si="1"/>
        <v>0.59576268576955893</v>
      </c>
      <c r="J28">
        <f t="shared" si="1"/>
        <v>0.62730371332676249</v>
      </c>
      <c r="K28">
        <f t="shared" si="1"/>
        <v>0.77800863943345222</v>
      </c>
      <c r="L28">
        <f t="shared" si="1"/>
        <v>0.81537962241239514</v>
      </c>
      <c r="M28">
        <f t="shared" si="1"/>
        <v>0.87101995973744484</v>
      </c>
      <c r="N28">
        <f t="shared" si="1"/>
        <v>0.89234076647779215</v>
      </c>
      <c r="O28">
        <f t="shared" si="1"/>
        <v>0.9342102948846589</v>
      </c>
      <c r="P28">
        <f t="shared" si="1"/>
        <v>0.95369281205308876</v>
      </c>
      <c r="Q28">
        <f t="shared" si="1"/>
        <v>1.008717288764053</v>
      </c>
    </row>
    <row r="29" spans="1:43" x14ac:dyDescent="0.45">
      <c r="A29" t="s">
        <v>6</v>
      </c>
      <c r="B29">
        <v>1988</v>
      </c>
      <c r="C29">
        <v>1.053910076460898</v>
      </c>
      <c r="D29">
        <v>1975</v>
      </c>
      <c r="E29">
        <v>1988</v>
      </c>
      <c r="F29">
        <f>COUNTIFS($A$2:A29, A29)</f>
        <v>12</v>
      </c>
      <c r="H29" t="s">
        <v>31</v>
      </c>
      <c r="I29">
        <f t="shared" si="1"/>
        <v>0.59997438025034966</v>
      </c>
      <c r="J29">
        <f t="shared" si="1"/>
        <v>0.63230519626563808</v>
      </c>
      <c r="K29">
        <f t="shared" si="1"/>
        <v>0.63948316286123463</v>
      </c>
      <c r="L29">
        <f t="shared" si="1"/>
        <v>0.78240109272677627</v>
      </c>
      <c r="M29">
        <f t="shared" si="1"/>
        <v>0.81981257406337493</v>
      </c>
      <c r="N29">
        <f t="shared" si="1"/>
        <v>0.87614425837583088</v>
      </c>
      <c r="O29">
        <f t="shared" si="1"/>
        <v>0.88095128126505617</v>
      </c>
      <c r="P29">
        <f t="shared" si="1"/>
        <v>0.86892037170214709</v>
      </c>
      <c r="Q29">
        <f t="shared" si="1"/>
        <v>0.89744542144719675</v>
      </c>
      <c r="R29">
        <f t="shared" si="1"/>
        <v>0.93932748681830769</v>
      </c>
      <c r="S29">
        <f t="shared" si="1"/>
        <v>0.95785020082724759</v>
      </c>
      <c r="T29">
        <f t="shared" si="1"/>
        <v>1.013588987299924</v>
      </c>
    </row>
    <row r="30" spans="1:43" x14ac:dyDescent="0.45">
      <c r="A30" t="s">
        <v>7</v>
      </c>
      <c r="B30">
        <v>1978</v>
      </c>
      <c r="C30">
        <v>0.53032184323719878</v>
      </c>
      <c r="D30">
        <v>1978</v>
      </c>
      <c r="E30">
        <v>2001</v>
      </c>
      <c r="F30">
        <f>COUNTIFS($A$2:A30, A30)</f>
        <v>1</v>
      </c>
      <c r="H30" t="s">
        <v>32</v>
      </c>
      <c r="I30">
        <f t="shared" si="1"/>
        <v>0.53255108556832698</v>
      </c>
      <c r="J30">
        <f t="shared" si="1"/>
        <v>0.65079763130932688</v>
      </c>
      <c r="K30">
        <f t="shared" si="1"/>
        <v>0.42060651138019728</v>
      </c>
      <c r="L30">
        <f t="shared" si="1"/>
        <v>0.35591400794504319</v>
      </c>
      <c r="M30">
        <f t="shared" si="1"/>
        <v>0.34696172232748251</v>
      </c>
      <c r="N30">
        <f t="shared" si="1"/>
        <v>0.31127184350048043</v>
      </c>
      <c r="O30">
        <f t="shared" si="1"/>
        <v>0.30550043992924159</v>
      </c>
      <c r="P30">
        <f t="shared" si="1"/>
        <v>0.38755958381025418</v>
      </c>
      <c r="Q30">
        <f t="shared" si="1"/>
        <v>0.34762918135266341</v>
      </c>
      <c r="R30">
        <f t="shared" si="1"/>
        <v>0.26848992977137021</v>
      </c>
      <c r="S30">
        <f t="shared" si="1"/>
        <v>0.3489328477443609</v>
      </c>
      <c r="T30">
        <f t="shared" si="1"/>
        <v>0.28678248964303948</v>
      </c>
      <c r="U30">
        <f t="shared" si="1"/>
        <v>0.29988158248018398</v>
      </c>
      <c r="V30">
        <f t="shared" si="1"/>
        <v>0.28984866507375862</v>
      </c>
      <c r="W30">
        <f t="shared" si="1"/>
        <v>0.33721586639603679</v>
      </c>
      <c r="X30">
        <f t="shared" si="1"/>
        <v>0.35997458158665407</v>
      </c>
      <c r="Y30">
        <f t="shared" si="4"/>
        <v>0.41576840759326139</v>
      </c>
      <c r="Z30">
        <f t="shared" si="4"/>
        <v>0.40801185462709411</v>
      </c>
      <c r="AA30">
        <f t="shared" si="4"/>
        <v>0.51735108684049369</v>
      </c>
      <c r="AB30">
        <f t="shared" si="4"/>
        <v>0.45242405495074478</v>
      </c>
      <c r="AC30">
        <f t="shared" si="4"/>
        <v>0.39753024879564841</v>
      </c>
      <c r="AD30">
        <f t="shared" si="4"/>
        <v>0.37128439552166381</v>
      </c>
      <c r="AE30">
        <f t="shared" si="4"/>
        <v>0.4000531900039952</v>
      </c>
      <c r="AF30">
        <f t="shared" si="4"/>
        <v>0.46096780291424322</v>
      </c>
      <c r="AG30">
        <f t="shared" si="4"/>
        <v>0.70842532862944663</v>
      </c>
      <c r="AH30">
        <f t="shared" si="4"/>
        <v>0.79760609083749012</v>
      </c>
      <c r="AI30">
        <f t="shared" si="4"/>
        <v>0.80081674144484749</v>
      </c>
      <c r="AJ30">
        <f t="shared" si="4"/>
        <v>0.80436747235292361</v>
      </c>
      <c r="AK30">
        <f t="shared" si="4"/>
        <v>1.0063605496641701</v>
      </c>
    </row>
    <row r="31" spans="1:43" x14ac:dyDescent="0.45">
      <c r="A31" t="s">
        <v>7</v>
      </c>
      <c r="B31">
        <v>1979</v>
      </c>
      <c r="C31">
        <v>0.55675990718785084</v>
      </c>
      <c r="D31">
        <v>1978</v>
      </c>
      <c r="E31">
        <v>2001</v>
      </c>
      <c r="F31">
        <f>COUNTIFS($A$2:A31, A31)</f>
        <v>2</v>
      </c>
      <c r="H31" t="s">
        <v>33</v>
      </c>
      <c r="I31">
        <f t="shared" si="1"/>
        <v>0.5025113522758754</v>
      </c>
      <c r="J31">
        <f t="shared" si="1"/>
        <v>0.59082688829889574</v>
      </c>
      <c r="K31">
        <f t="shared" si="1"/>
        <v>0.53314525305110905</v>
      </c>
      <c r="L31">
        <f t="shared" si="1"/>
        <v>0.56006759562085262</v>
      </c>
      <c r="M31">
        <f t="shared" si="1"/>
        <v>0.57340336190463492</v>
      </c>
      <c r="N31">
        <f t="shared" si="1"/>
        <v>0.58172100873223587</v>
      </c>
      <c r="O31">
        <f t="shared" si="1"/>
        <v>0.60193920621244013</v>
      </c>
      <c r="P31">
        <f t="shared" si="1"/>
        <v>0.64589521881444767</v>
      </c>
      <c r="Q31">
        <f t="shared" si="1"/>
        <v>0.68907134242508594</v>
      </c>
      <c r="R31">
        <f t="shared" si="1"/>
        <v>0.75342646283605708</v>
      </c>
      <c r="S31">
        <f t="shared" si="1"/>
        <v>0.80120772662531048</v>
      </c>
      <c r="T31">
        <f t="shared" si="1"/>
        <v>0.85608807609438231</v>
      </c>
      <c r="U31">
        <f t="shared" si="1"/>
        <v>0.85328681249161287</v>
      </c>
      <c r="V31">
        <f t="shared" si="1"/>
        <v>0.87605352545591586</v>
      </c>
      <c r="W31">
        <f t="shared" si="1"/>
        <v>0.84350018462953047</v>
      </c>
      <c r="X31">
        <f t="shared" si="1"/>
        <v>0.80576076576032662</v>
      </c>
      <c r="Y31">
        <f t="shared" si="4"/>
        <v>0.76352693033988794</v>
      </c>
      <c r="Z31">
        <f t="shared" si="4"/>
        <v>0.7954035737295807</v>
      </c>
      <c r="AA31">
        <f t="shared" si="4"/>
        <v>0.79164674723338579</v>
      </c>
      <c r="AB31">
        <f t="shared" si="4"/>
        <v>0.79871102125210713</v>
      </c>
      <c r="AC31">
        <f t="shared" si="4"/>
        <v>0.81085536774524802</v>
      </c>
      <c r="AD31">
        <f t="shared" si="4"/>
        <v>0.80971701263542517</v>
      </c>
      <c r="AE31">
        <f t="shared" si="4"/>
        <v>0.8119024053932552</v>
      </c>
      <c r="AF31">
        <f t="shared" si="4"/>
        <v>0.88293496958541196</v>
      </c>
      <c r="AG31">
        <f t="shared" si="4"/>
        <v>0.93741806429945518</v>
      </c>
      <c r="AH31">
        <f t="shared" si="4"/>
        <v>0.96470304928415951</v>
      </c>
      <c r="AI31">
        <f t="shared" si="4"/>
        <v>1.0793107365817991</v>
      </c>
    </row>
    <row r="32" spans="1:43" x14ac:dyDescent="0.45">
      <c r="A32" t="s">
        <v>7</v>
      </c>
      <c r="B32">
        <v>1980</v>
      </c>
      <c r="C32">
        <v>0.56416627447945367</v>
      </c>
      <c r="D32">
        <v>1978</v>
      </c>
      <c r="E32">
        <v>2001</v>
      </c>
      <c r="F32">
        <f>COUNTIFS($A$2:A32, A32)</f>
        <v>3</v>
      </c>
      <c r="H32" t="s">
        <v>34</v>
      </c>
      <c r="I32">
        <f t="shared" si="1"/>
        <v>0.50268773203126205</v>
      </c>
      <c r="J32">
        <f t="shared" si="1"/>
        <v>0.51122587684616783</v>
      </c>
      <c r="K32">
        <f t="shared" si="1"/>
        <v>0.47427717421565269</v>
      </c>
      <c r="L32">
        <f t="shared" si="1"/>
        <v>0.47434823341548599</v>
      </c>
      <c r="M32">
        <f t="shared" si="1"/>
        <v>0.38149281794794032</v>
      </c>
      <c r="N32">
        <f t="shared" si="1"/>
        <v>0.34289051263655751</v>
      </c>
      <c r="O32">
        <f t="shared" si="1"/>
        <v>0.31324742736164868</v>
      </c>
      <c r="P32">
        <f t="shared" si="1"/>
        <v>0.31832135228372049</v>
      </c>
      <c r="Q32">
        <f t="shared" si="1"/>
        <v>0.34718775191535012</v>
      </c>
      <c r="R32">
        <f t="shared" si="1"/>
        <v>0.35832938245027812</v>
      </c>
      <c r="S32">
        <f t="shared" si="1"/>
        <v>0.37432187027912289</v>
      </c>
      <c r="T32">
        <f t="shared" si="1"/>
        <v>0.39799939803427048</v>
      </c>
      <c r="U32">
        <f t="shared" si="1"/>
        <v>0.89547434522241443</v>
      </c>
      <c r="V32">
        <f t="shared" si="1"/>
        <v>0.89628767146107036</v>
      </c>
      <c r="W32">
        <f t="shared" si="1"/>
        <v>0.89911527683691106</v>
      </c>
      <c r="X32">
        <f t="shared" si="1"/>
        <v>0.91635025792767555</v>
      </c>
      <c r="Y32">
        <f t="shared" si="4"/>
        <v>0.99270035089013897</v>
      </c>
      <c r="Z32">
        <f t="shared" si="4"/>
        <v>1.027244595748066</v>
      </c>
    </row>
    <row r="33" spans="1:37" x14ac:dyDescent="0.45">
      <c r="A33" t="s">
        <v>7</v>
      </c>
      <c r="B33">
        <v>1981</v>
      </c>
      <c r="C33">
        <v>0.69870343524506051</v>
      </c>
      <c r="D33">
        <v>1978</v>
      </c>
      <c r="E33">
        <v>2001</v>
      </c>
      <c r="F33">
        <f>COUNTIFS($A$2:A33, A33)</f>
        <v>4</v>
      </c>
      <c r="H33" t="s">
        <v>35</v>
      </c>
      <c r="I33">
        <f t="shared" si="1"/>
        <v>0.51678538962209042</v>
      </c>
      <c r="J33">
        <f t="shared" si="1"/>
        <v>0.52794989787292479</v>
      </c>
      <c r="K33">
        <f t="shared" si="1"/>
        <v>0.54854407626611468</v>
      </c>
      <c r="L33">
        <f t="shared" si="1"/>
        <v>0.57594762443559522</v>
      </c>
      <c r="M33">
        <f t="shared" si="1"/>
        <v>0.63144843341891499</v>
      </c>
      <c r="N33">
        <f t="shared" si="1"/>
        <v>0.71586650872068813</v>
      </c>
      <c r="O33">
        <f t="shared" si="1"/>
        <v>0.68116983183740698</v>
      </c>
      <c r="P33">
        <f t="shared" si="1"/>
        <v>0.7131707190872052</v>
      </c>
      <c r="Q33">
        <f t="shared" si="1"/>
        <v>0.76246487090792936</v>
      </c>
      <c r="R33">
        <f t="shared" si="1"/>
        <v>0.78085553591809864</v>
      </c>
      <c r="S33">
        <f t="shared" si="1"/>
        <v>0.79124761232883134</v>
      </c>
      <c r="T33">
        <f t="shared" si="1"/>
        <v>0.86967129499983242</v>
      </c>
      <c r="U33">
        <f t="shared" si="1"/>
        <v>0.80738785714192896</v>
      </c>
      <c r="V33">
        <f t="shared" si="1"/>
        <v>0.80558228883886074</v>
      </c>
      <c r="W33">
        <f t="shared" si="1"/>
        <v>0.87240326094136988</v>
      </c>
      <c r="X33">
        <f t="shared" si="1"/>
        <v>0.95054519756745437</v>
      </c>
      <c r="Y33">
        <f t="shared" si="4"/>
        <v>1.0089026494511499</v>
      </c>
    </row>
    <row r="34" spans="1:37" x14ac:dyDescent="0.45">
      <c r="A34" t="s">
        <v>7</v>
      </c>
      <c r="B34">
        <v>1982</v>
      </c>
      <c r="C34">
        <v>0.68063867113537246</v>
      </c>
      <c r="D34">
        <v>1978</v>
      </c>
      <c r="E34">
        <v>2001</v>
      </c>
      <c r="F34">
        <f>COUNTIFS($A$2:A34, A34)</f>
        <v>5</v>
      </c>
      <c r="H34" t="s">
        <v>36</v>
      </c>
      <c r="I34">
        <f t="shared" ref="I34:X36" si="7">IFERROR(AVERAGEIFS($C$2:$C$604,$A$2:$A$604,$H34,$F$2:$F$604,I$2),"")</f>
        <v>0.56202578271268755</v>
      </c>
      <c r="J34">
        <f t="shared" si="7"/>
        <v>0.55488991126323084</v>
      </c>
      <c r="K34">
        <f t="shared" si="7"/>
        <v>0.59843381598314938</v>
      </c>
      <c r="L34">
        <f t="shared" si="7"/>
        <v>0.59570334962391835</v>
      </c>
      <c r="M34">
        <f t="shared" si="7"/>
        <v>0.59487407149644189</v>
      </c>
      <c r="N34">
        <f t="shared" si="7"/>
        <v>0.6533361082814112</v>
      </c>
      <c r="O34">
        <f t="shared" si="7"/>
        <v>0.70889256247801624</v>
      </c>
      <c r="P34">
        <f t="shared" si="7"/>
        <v>0.68423853115828626</v>
      </c>
      <c r="Q34">
        <f t="shared" si="7"/>
        <v>0.6600428405848412</v>
      </c>
      <c r="R34">
        <f t="shared" si="7"/>
        <v>0.67361436932553009</v>
      </c>
      <c r="S34">
        <f t="shared" si="7"/>
        <v>0.69720803297313916</v>
      </c>
      <c r="T34">
        <f t="shared" si="7"/>
        <v>0.66822755998971783</v>
      </c>
      <c r="U34">
        <f t="shared" si="7"/>
        <v>0.78947004699794177</v>
      </c>
      <c r="V34">
        <f t="shared" si="7"/>
        <v>0.80563038800551323</v>
      </c>
      <c r="W34">
        <f t="shared" si="7"/>
        <v>0.81570778763429852</v>
      </c>
      <c r="X34">
        <f t="shared" si="7"/>
        <v>0.872211456379822</v>
      </c>
      <c r="Y34">
        <f t="shared" si="4"/>
        <v>0.92936106122246542</v>
      </c>
      <c r="Z34">
        <f t="shared" si="4"/>
        <v>0.9864467668340271</v>
      </c>
      <c r="AA34">
        <f t="shared" si="4"/>
        <v>1.096024414607037</v>
      </c>
    </row>
    <row r="35" spans="1:37" x14ac:dyDescent="0.45">
      <c r="A35" t="s">
        <v>7</v>
      </c>
      <c r="B35">
        <v>1983</v>
      </c>
      <c r="C35">
        <v>0.63007338909512101</v>
      </c>
      <c r="D35">
        <v>1978</v>
      </c>
      <c r="E35">
        <v>2001</v>
      </c>
      <c r="F35">
        <f>COUNTIFS($A$2:A35, A35)</f>
        <v>6</v>
      </c>
      <c r="H35" t="s">
        <v>37</v>
      </c>
      <c r="I35">
        <f t="shared" si="7"/>
        <v>0.58722430788458657</v>
      </c>
      <c r="J35">
        <f t="shared" si="7"/>
        <v>0.60466787782507891</v>
      </c>
      <c r="K35">
        <f t="shared" si="7"/>
        <v>0.65359542373759494</v>
      </c>
      <c r="L35">
        <f t="shared" si="7"/>
        <v>0.85639687383950036</v>
      </c>
      <c r="M35">
        <f t="shared" si="7"/>
        <v>0.82872770965200881</v>
      </c>
      <c r="N35">
        <f t="shared" si="7"/>
        <v>1.0332235376964529</v>
      </c>
    </row>
    <row r="36" spans="1:37" x14ac:dyDescent="0.45">
      <c r="A36" t="s">
        <v>7</v>
      </c>
      <c r="B36">
        <v>1984</v>
      </c>
      <c r="C36">
        <v>0.62618780655690864</v>
      </c>
      <c r="D36">
        <v>1978</v>
      </c>
      <c r="E36">
        <v>2001</v>
      </c>
      <c r="F36">
        <f>COUNTIFS($A$2:A36, A36)</f>
        <v>7</v>
      </c>
      <c r="H36" t="s">
        <v>38</v>
      </c>
      <c r="I36">
        <f t="shared" si="7"/>
        <v>0.58716657739689337</v>
      </c>
      <c r="J36">
        <f t="shared" si="7"/>
        <v>0.57402718943946407</v>
      </c>
      <c r="K36">
        <f t="shared" si="7"/>
        <v>0.56836563136005658</v>
      </c>
      <c r="L36">
        <f t="shared" si="7"/>
        <v>0.54801340745585347</v>
      </c>
      <c r="M36">
        <f t="shared" si="7"/>
        <v>0.56189022173754999</v>
      </c>
      <c r="N36">
        <f t="shared" si="7"/>
        <v>0.57638229084191084</v>
      </c>
      <c r="O36">
        <f t="shared" si="7"/>
        <v>0.58124104156712852</v>
      </c>
      <c r="P36">
        <f t="shared" si="7"/>
        <v>0.57208691499522446</v>
      </c>
      <c r="Q36">
        <f t="shared" si="7"/>
        <v>0.5794372481913096</v>
      </c>
      <c r="R36">
        <f t="shared" si="7"/>
        <v>0.5501493439533478</v>
      </c>
      <c r="S36">
        <f t="shared" si="7"/>
        <v>0.5669019855026789</v>
      </c>
      <c r="T36">
        <f t="shared" si="7"/>
        <v>0.54732694296174156</v>
      </c>
      <c r="U36">
        <f t="shared" si="7"/>
        <v>0.53874822407144307</v>
      </c>
      <c r="V36">
        <f t="shared" si="7"/>
        <v>0.5340694357785899</v>
      </c>
      <c r="W36">
        <f t="shared" si="7"/>
        <v>0.52068010550113042</v>
      </c>
      <c r="X36">
        <f t="shared" si="7"/>
        <v>0.50085299481597423</v>
      </c>
      <c r="Y36">
        <f t="shared" ref="Y35:AN36" si="8">IFERROR(AVERAGEIFS($C$2:$C$604,$A$2:$A$604,$H36,$F$2:$F$604,Y$2),"")</f>
        <v>0.53922117960826532</v>
      </c>
      <c r="Z36">
        <f t="shared" si="8"/>
        <v>0.55294823963291739</v>
      </c>
      <c r="AA36">
        <f t="shared" si="8"/>
        <v>0.5884009292691802</v>
      </c>
      <c r="AB36">
        <f t="shared" si="8"/>
        <v>0.61759566158441626</v>
      </c>
      <c r="AC36">
        <f t="shared" si="8"/>
        <v>0.65197690363986938</v>
      </c>
      <c r="AD36">
        <f t="shared" si="8"/>
        <v>0.64857384051832145</v>
      </c>
      <c r="AE36">
        <f t="shared" si="8"/>
        <v>0.65225413380819131</v>
      </c>
      <c r="AF36">
        <f t="shared" si="8"/>
        <v>0.66753346193546204</v>
      </c>
      <c r="AG36">
        <f t="shared" si="8"/>
        <v>0.69140792886254165</v>
      </c>
      <c r="AH36">
        <f t="shared" si="8"/>
        <v>0.71938198922505647</v>
      </c>
      <c r="AI36">
        <f t="shared" si="8"/>
        <v>0.90983076724859879</v>
      </c>
      <c r="AJ36">
        <f t="shared" si="8"/>
        <v>0.9582825572459589</v>
      </c>
      <c r="AK36">
        <f t="shared" si="8"/>
        <v>1.0105860317314681</v>
      </c>
    </row>
    <row r="37" spans="1:37" x14ac:dyDescent="0.45">
      <c r="A37" t="s">
        <v>7</v>
      </c>
      <c r="B37">
        <v>1985</v>
      </c>
      <c r="C37">
        <v>0.63228585656374559</v>
      </c>
      <c r="D37">
        <v>1978</v>
      </c>
      <c r="E37">
        <v>2001</v>
      </c>
      <c r="F37">
        <f>COUNTIFS($A$2:A37, A37)</f>
        <v>8</v>
      </c>
    </row>
    <row r="38" spans="1:37" x14ac:dyDescent="0.45">
      <c r="A38" t="s">
        <v>7</v>
      </c>
      <c r="B38">
        <v>1986</v>
      </c>
      <c r="C38">
        <v>0.63304787042135846</v>
      </c>
      <c r="D38">
        <v>1978</v>
      </c>
      <c r="E38">
        <v>2001</v>
      </c>
      <c r="F38">
        <f>COUNTIFS($A$2:A38, A38)</f>
        <v>9</v>
      </c>
    </row>
    <row r="39" spans="1:37" x14ac:dyDescent="0.45">
      <c r="A39" t="s">
        <v>7</v>
      </c>
      <c r="B39">
        <v>1987</v>
      </c>
      <c r="C39">
        <v>0.64086701860931583</v>
      </c>
      <c r="D39">
        <v>1978</v>
      </c>
      <c r="E39">
        <v>2001</v>
      </c>
      <c r="F39">
        <f>COUNTIFS($A$2:A39, A39)</f>
        <v>10</v>
      </c>
    </row>
    <row r="40" spans="1:37" x14ac:dyDescent="0.45">
      <c r="A40" t="s">
        <v>7</v>
      </c>
      <c r="B40">
        <v>1988</v>
      </c>
      <c r="C40">
        <v>0.66220286045168719</v>
      </c>
      <c r="D40">
        <v>1978</v>
      </c>
      <c r="E40">
        <v>2001</v>
      </c>
      <c r="F40">
        <f>COUNTIFS($A$2:A40, A40)</f>
        <v>11</v>
      </c>
    </row>
    <row r="41" spans="1:37" x14ac:dyDescent="0.45">
      <c r="A41" t="s">
        <v>7</v>
      </c>
      <c r="B41">
        <v>1989</v>
      </c>
      <c r="C41">
        <v>0.6980072336984926</v>
      </c>
      <c r="D41">
        <v>1978</v>
      </c>
      <c r="E41">
        <v>2001</v>
      </c>
      <c r="F41">
        <f>COUNTIFS($A$2:A41, A41)</f>
        <v>12</v>
      </c>
    </row>
    <row r="42" spans="1:37" x14ac:dyDescent="0.45">
      <c r="A42" t="s">
        <v>7</v>
      </c>
      <c r="B42">
        <v>1990</v>
      </c>
      <c r="C42">
        <v>0.73068047350039766</v>
      </c>
      <c r="D42">
        <v>1978</v>
      </c>
      <c r="E42">
        <v>2001</v>
      </c>
      <c r="F42">
        <f>COUNTIFS($A$2:A42, A42)</f>
        <v>13</v>
      </c>
    </row>
    <row r="43" spans="1:37" x14ac:dyDescent="0.45">
      <c r="A43" t="s">
        <v>7</v>
      </c>
      <c r="B43">
        <v>1991</v>
      </c>
      <c r="C43">
        <v>0.74988920918872626</v>
      </c>
      <c r="D43">
        <v>1978</v>
      </c>
      <c r="E43">
        <v>2001</v>
      </c>
      <c r="F43">
        <f>COUNTIFS($A$2:A43, A43)</f>
        <v>14</v>
      </c>
    </row>
    <row r="44" spans="1:37" x14ac:dyDescent="0.45">
      <c r="A44" t="s">
        <v>7</v>
      </c>
      <c r="B44">
        <v>1992</v>
      </c>
      <c r="C44">
        <v>0.76528598232827971</v>
      </c>
      <c r="D44">
        <v>1978</v>
      </c>
      <c r="E44">
        <v>2001</v>
      </c>
      <c r="F44">
        <f>COUNTIFS($A$2:A44, A44)</f>
        <v>15</v>
      </c>
    </row>
    <row r="45" spans="1:37" x14ac:dyDescent="0.45">
      <c r="A45" t="s">
        <v>7</v>
      </c>
      <c r="B45">
        <v>1993</v>
      </c>
      <c r="C45">
        <v>0.75532001761626266</v>
      </c>
      <c r="D45">
        <v>1978</v>
      </c>
      <c r="E45">
        <v>2001</v>
      </c>
      <c r="F45">
        <f>COUNTIFS($A$2:A45, A45)</f>
        <v>16</v>
      </c>
    </row>
    <row r="46" spans="1:37" x14ac:dyDescent="0.45">
      <c r="A46" t="s">
        <v>7</v>
      </c>
      <c r="B46">
        <v>1994</v>
      </c>
      <c r="C46">
        <v>0.74751506366386689</v>
      </c>
      <c r="D46">
        <v>1978</v>
      </c>
      <c r="E46">
        <v>2001</v>
      </c>
      <c r="F46">
        <f>COUNTIFS($A$2:A46, A46)</f>
        <v>17</v>
      </c>
    </row>
    <row r="47" spans="1:37" x14ac:dyDescent="0.45">
      <c r="A47" t="s">
        <v>7</v>
      </c>
      <c r="B47">
        <v>1995</v>
      </c>
      <c r="C47">
        <v>0.73950513515170968</v>
      </c>
      <c r="D47">
        <v>1978</v>
      </c>
      <c r="E47">
        <v>2001</v>
      </c>
      <c r="F47">
        <f>COUNTIFS($A$2:A47, A47)</f>
        <v>18</v>
      </c>
    </row>
    <row r="48" spans="1:37" x14ac:dyDescent="0.45">
      <c r="A48" t="s">
        <v>7</v>
      </c>
      <c r="B48">
        <v>1996</v>
      </c>
      <c r="C48">
        <v>0.78633084990823798</v>
      </c>
      <c r="D48">
        <v>1978</v>
      </c>
      <c r="E48">
        <v>2001</v>
      </c>
      <c r="F48">
        <f>COUNTIFS($A$2:A48, A48)</f>
        <v>19</v>
      </c>
    </row>
    <row r="49" spans="1:6" x14ac:dyDescent="0.45">
      <c r="A49" t="s">
        <v>7</v>
      </c>
      <c r="B49">
        <v>1997</v>
      </c>
      <c r="C49">
        <v>0.81531268779737465</v>
      </c>
      <c r="D49">
        <v>1978</v>
      </c>
      <c r="E49">
        <v>2001</v>
      </c>
      <c r="F49">
        <f>COUNTIFS($A$2:A49, A49)</f>
        <v>20</v>
      </c>
    </row>
    <row r="50" spans="1:6" x14ac:dyDescent="0.45">
      <c r="A50" t="s">
        <v>7</v>
      </c>
      <c r="B50">
        <v>1998</v>
      </c>
      <c r="C50">
        <v>0.79862539813163835</v>
      </c>
      <c r="D50">
        <v>1978</v>
      </c>
      <c r="E50">
        <v>2001</v>
      </c>
      <c r="F50">
        <f>COUNTIFS($A$2:A50, A50)</f>
        <v>21</v>
      </c>
    </row>
    <row r="51" spans="1:6" x14ac:dyDescent="0.45">
      <c r="A51" t="s">
        <v>7</v>
      </c>
      <c r="B51">
        <v>1999</v>
      </c>
      <c r="C51">
        <v>0.77250110872224598</v>
      </c>
      <c r="D51">
        <v>1978</v>
      </c>
      <c r="E51">
        <v>2001</v>
      </c>
      <c r="F51">
        <f>COUNTIFS($A$2:A51, A51)</f>
        <v>22</v>
      </c>
    </row>
    <row r="52" spans="1:6" x14ac:dyDescent="0.45">
      <c r="A52" t="s">
        <v>7</v>
      </c>
      <c r="B52">
        <v>2000</v>
      </c>
      <c r="C52">
        <v>0.73987738492292043</v>
      </c>
      <c r="D52">
        <v>1978</v>
      </c>
      <c r="E52">
        <v>2001</v>
      </c>
      <c r="F52">
        <f>COUNTIFS($A$2:A52, A52)</f>
        <v>23</v>
      </c>
    </row>
    <row r="53" spans="1:6" x14ac:dyDescent="0.45">
      <c r="A53" t="s">
        <v>7</v>
      </c>
      <c r="B53">
        <v>2001</v>
      </c>
      <c r="C53">
        <v>1.2135283176137031</v>
      </c>
      <c r="D53">
        <v>1978</v>
      </c>
      <c r="E53">
        <v>2001</v>
      </c>
      <c r="F53">
        <f>COUNTIFS($A$2:A53, A53)</f>
        <v>24</v>
      </c>
    </row>
    <row r="54" spans="1:6" x14ac:dyDescent="0.45">
      <c r="A54" t="s">
        <v>8</v>
      </c>
      <c r="B54">
        <v>1977</v>
      </c>
      <c r="C54">
        <v>0.51093567610739077</v>
      </c>
      <c r="D54">
        <v>1977</v>
      </c>
      <c r="E54">
        <v>1998</v>
      </c>
      <c r="F54">
        <f>COUNTIFS($A$2:A54, A54)</f>
        <v>1</v>
      </c>
    </row>
    <row r="55" spans="1:6" x14ac:dyDescent="0.45">
      <c r="A55" t="s">
        <v>8</v>
      </c>
      <c r="B55">
        <v>1978</v>
      </c>
      <c r="C55">
        <v>0.50206252713851496</v>
      </c>
      <c r="D55">
        <v>1977</v>
      </c>
      <c r="E55">
        <v>1998</v>
      </c>
      <c r="F55">
        <f>COUNTIFS($A$2:A55, A55)</f>
        <v>2</v>
      </c>
    </row>
    <row r="56" spans="1:6" x14ac:dyDescent="0.45">
      <c r="A56" t="s">
        <v>8</v>
      </c>
      <c r="B56">
        <v>1979</v>
      </c>
      <c r="C56">
        <v>0.49659135177249708</v>
      </c>
      <c r="D56">
        <v>1977</v>
      </c>
      <c r="E56">
        <v>1998</v>
      </c>
      <c r="F56">
        <f>COUNTIFS($A$2:A56, A56)</f>
        <v>3</v>
      </c>
    </row>
    <row r="57" spans="1:6" x14ac:dyDescent="0.45">
      <c r="A57" t="s">
        <v>8</v>
      </c>
      <c r="B57">
        <v>1980</v>
      </c>
      <c r="C57">
        <v>0.52533890375786063</v>
      </c>
      <c r="D57">
        <v>1977</v>
      </c>
      <c r="E57">
        <v>1998</v>
      </c>
      <c r="F57">
        <f>COUNTIFS($A$2:A57, A57)</f>
        <v>4</v>
      </c>
    </row>
    <row r="58" spans="1:6" x14ac:dyDescent="0.45">
      <c r="A58" t="s">
        <v>8</v>
      </c>
      <c r="B58">
        <v>1981</v>
      </c>
      <c r="C58">
        <v>0.55912391044957221</v>
      </c>
      <c r="D58">
        <v>1977</v>
      </c>
      <c r="E58">
        <v>1998</v>
      </c>
      <c r="F58">
        <f>COUNTIFS($A$2:A58, A58)</f>
        <v>5</v>
      </c>
    </row>
    <row r="59" spans="1:6" x14ac:dyDescent="0.45">
      <c r="A59" t="s">
        <v>8</v>
      </c>
      <c r="B59">
        <v>1982</v>
      </c>
      <c r="C59">
        <v>0.56696262723827917</v>
      </c>
      <c r="D59">
        <v>1977</v>
      </c>
      <c r="E59">
        <v>1998</v>
      </c>
      <c r="F59">
        <f>COUNTIFS($A$2:A59, A59)</f>
        <v>6</v>
      </c>
    </row>
    <row r="60" spans="1:6" x14ac:dyDescent="0.45">
      <c r="A60" t="s">
        <v>8</v>
      </c>
      <c r="B60">
        <v>1983</v>
      </c>
      <c r="C60">
        <v>0.56876916701201818</v>
      </c>
      <c r="D60">
        <v>1977</v>
      </c>
      <c r="E60">
        <v>1998</v>
      </c>
      <c r="F60">
        <f>COUNTIFS($A$2:A60, A60)</f>
        <v>7</v>
      </c>
    </row>
    <row r="61" spans="1:6" x14ac:dyDescent="0.45">
      <c r="A61" t="s">
        <v>8</v>
      </c>
      <c r="B61">
        <v>1984</v>
      </c>
      <c r="C61">
        <v>0.60605561954911968</v>
      </c>
      <c r="D61">
        <v>1977</v>
      </c>
      <c r="E61">
        <v>1998</v>
      </c>
      <c r="F61">
        <f>COUNTIFS($A$2:A61, A61)</f>
        <v>8</v>
      </c>
    </row>
    <row r="62" spans="1:6" x14ac:dyDescent="0.45">
      <c r="A62" t="s">
        <v>8</v>
      </c>
      <c r="B62">
        <v>1985</v>
      </c>
      <c r="C62">
        <v>0.66069175835627858</v>
      </c>
      <c r="D62">
        <v>1977</v>
      </c>
      <c r="E62">
        <v>1998</v>
      </c>
      <c r="F62">
        <f>COUNTIFS($A$2:A62, A62)</f>
        <v>9</v>
      </c>
    </row>
    <row r="63" spans="1:6" x14ac:dyDescent="0.45">
      <c r="A63" t="s">
        <v>8</v>
      </c>
      <c r="B63">
        <v>1986</v>
      </c>
      <c r="C63">
        <v>0.75835000769585958</v>
      </c>
      <c r="D63">
        <v>1977</v>
      </c>
      <c r="E63">
        <v>1998</v>
      </c>
      <c r="F63">
        <f>COUNTIFS($A$2:A63, A63)</f>
        <v>10</v>
      </c>
    </row>
    <row r="64" spans="1:6" x14ac:dyDescent="0.45">
      <c r="A64" t="s">
        <v>8</v>
      </c>
      <c r="B64">
        <v>1987</v>
      </c>
      <c r="C64">
        <v>0.77899492460704645</v>
      </c>
      <c r="D64">
        <v>1977</v>
      </c>
      <c r="E64">
        <v>1998</v>
      </c>
      <c r="F64">
        <f>COUNTIFS($A$2:A64, A64)</f>
        <v>11</v>
      </c>
    </row>
    <row r="65" spans="1:6" x14ac:dyDescent="0.45">
      <c r="A65" t="s">
        <v>8</v>
      </c>
      <c r="B65">
        <v>1988</v>
      </c>
      <c r="C65">
        <v>0.73857060185185186</v>
      </c>
      <c r="D65">
        <v>1977</v>
      </c>
      <c r="E65">
        <v>1998</v>
      </c>
      <c r="F65">
        <f>COUNTIFS($A$2:A65, A65)</f>
        <v>12</v>
      </c>
    </row>
    <row r="66" spans="1:6" x14ac:dyDescent="0.45">
      <c r="A66" t="s">
        <v>8</v>
      </c>
      <c r="B66">
        <v>1989</v>
      </c>
      <c r="C66">
        <v>0.76997675769901219</v>
      </c>
      <c r="D66">
        <v>1977</v>
      </c>
      <c r="E66">
        <v>1998</v>
      </c>
      <c r="F66">
        <f>COUNTIFS($A$2:A66, A66)</f>
        <v>13</v>
      </c>
    </row>
    <row r="67" spans="1:6" x14ac:dyDescent="0.45">
      <c r="A67" t="s">
        <v>8</v>
      </c>
      <c r="B67">
        <v>1990</v>
      </c>
      <c r="C67">
        <v>0.86033020264839022</v>
      </c>
      <c r="D67">
        <v>1977</v>
      </c>
      <c r="E67">
        <v>1998</v>
      </c>
      <c r="F67">
        <f>COUNTIFS($A$2:A67, A67)</f>
        <v>14</v>
      </c>
    </row>
    <row r="68" spans="1:6" x14ac:dyDescent="0.45">
      <c r="A68" t="s">
        <v>8</v>
      </c>
      <c r="B68">
        <v>1991</v>
      </c>
      <c r="C68">
        <v>0.88101074265208945</v>
      </c>
      <c r="D68">
        <v>1977</v>
      </c>
      <c r="E68">
        <v>1998</v>
      </c>
      <c r="F68">
        <f>COUNTIFS($A$2:A68, A68)</f>
        <v>15</v>
      </c>
    </row>
    <row r="69" spans="1:6" x14ac:dyDescent="0.45">
      <c r="A69" t="s">
        <v>8</v>
      </c>
      <c r="B69">
        <v>1992</v>
      </c>
      <c r="C69">
        <v>0.86053063497413507</v>
      </c>
      <c r="D69">
        <v>1977</v>
      </c>
      <c r="E69">
        <v>1998</v>
      </c>
      <c r="F69">
        <f>COUNTIFS($A$2:A69, A69)</f>
        <v>16</v>
      </c>
    </row>
    <row r="70" spans="1:6" x14ac:dyDescent="0.45">
      <c r="A70" t="s">
        <v>8</v>
      </c>
      <c r="B70">
        <v>1993</v>
      </c>
      <c r="C70">
        <v>0.9650639173415746</v>
      </c>
      <c r="D70">
        <v>1977</v>
      </c>
      <c r="E70">
        <v>1998</v>
      </c>
      <c r="F70">
        <f>COUNTIFS($A$2:A70, A70)</f>
        <v>17</v>
      </c>
    </row>
    <row r="71" spans="1:6" x14ac:dyDescent="0.45">
      <c r="A71" t="s">
        <v>8</v>
      </c>
      <c r="B71">
        <v>1994</v>
      </c>
      <c r="C71">
        <v>0.85487554796959619</v>
      </c>
      <c r="D71">
        <v>1977</v>
      </c>
      <c r="E71">
        <v>1998</v>
      </c>
      <c r="F71">
        <f>COUNTIFS($A$2:A71, A71)</f>
        <v>18</v>
      </c>
    </row>
    <row r="72" spans="1:6" x14ac:dyDescent="0.45">
      <c r="A72" t="s">
        <v>8</v>
      </c>
      <c r="B72">
        <v>1995</v>
      </c>
      <c r="C72">
        <v>0.83783297161042924</v>
      </c>
      <c r="D72">
        <v>1977</v>
      </c>
      <c r="E72">
        <v>1998</v>
      </c>
      <c r="F72">
        <f>COUNTIFS($A$2:A72, A72)</f>
        <v>19</v>
      </c>
    </row>
    <row r="73" spans="1:6" x14ac:dyDescent="0.45">
      <c r="A73" t="s">
        <v>8</v>
      </c>
      <c r="B73">
        <v>1996</v>
      </c>
      <c r="C73">
        <v>0.88963808637513053</v>
      </c>
      <c r="D73">
        <v>1977</v>
      </c>
      <c r="E73">
        <v>1998</v>
      </c>
      <c r="F73">
        <f>COUNTIFS($A$2:A73, A73)</f>
        <v>20</v>
      </c>
    </row>
    <row r="74" spans="1:6" x14ac:dyDescent="0.45">
      <c r="A74" t="s">
        <v>8</v>
      </c>
      <c r="B74">
        <v>1997</v>
      </c>
      <c r="C74">
        <v>0.96110975381738872</v>
      </c>
      <c r="D74">
        <v>1977</v>
      </c>
      <c r="E74">
        <v>1998</v>
      </c>
      <c r="F74">
        <f>COUNTIFS($A$2:A74, A74)</f>
        <v>21</v>
      </c>
    </row>
    <row r="75" spans="1:6" x14ac:dyDescent="0.45">
      <c r="A75" t="s">
        <v>8</v>
      </c>
      <c r="B75">
        <v>1998</v>
      </c>
      <c r="C75">
        <v>1.0437436454668381</v>
      </c>
      <c r="D75">
        <v>1977</v>
      </c>
      <c r="E75">
        <v>1998</v>
      </c>
      <c r="F75">
        <f>COUNTIFS($A$2:A75, A75)</f>
        <v>22</v>
      </c>
    </row>
    <row r="76" spans="1:6" x14ac:dyDescent="0.45">
      <c r="A76" t="s">
        <v>9</v>
      </c>
      <c r="B76">
        <v>1986</v>
      </c>
      <c r="C76">
        <v>0.54842236468279304</v>
      </c>
      <c r="D76">
        <v>1986</v>
      </c>
      <c r="E76">
        <v>2000</v>
      </c>
      <c r="F76">
        <f>COUNTIFS($A$2:A76, A76)</f>
        <v>1</v>
      </c>
    </row>
    <row r="77" spans="1:6" x14ac:dyDescent="0.45">
      <c r="A77" t="s">
        <v>9</v>
      </c>
      <c r="B77">
        <v>1987</v>
      </c>
      <c r="C77">
        <v>0.49720322566294961</v>
      </c>
      <c r="D77">
        <v>1986</v>
      </c>
      <c r="E77">
        <v>2000</v>
      </c>
      <c r="F77">
        <f>COUNTIFS($A$2:A77, A77)</f>
        <v>2</v>
      </c>
    </row>
    <row r="78" spans="1:6" x14ac:dyDescent="0.45">
      <c r="A78" t="s">
        <v>9</v>
      </c>
      <c r="B78">
        <v>1988</v>
      </c>
      <c r="C78">
        <v>0.47898526667497487</v>
      </c>
      <c r="D78">
        <v>1986</v>
      </c>
      <c r="E78">
        <v>2000</v>
      </c>
      <c r="F78">
        <f>COUNTIFS($A$2:A78, A78)</f>
        <v>3</v>
      </c>
    </row>
    <row r="79" spans="1:6" x14ac:dyDescent="0.45">
      <c r="A79" t="s">
        <v>9</v>
      </c>
      <c r="B79">
        <v>1989</v>
      </c>
      <c r="C79">
        <v>0.5079713501902775</v>
      </c>
      <c r="D79">
        <v>1986</v>
      </c>
      <c r="E79">
        <v>2000</v>
      </c>
      <c r="F79">
        <f>COUNTIFS($A$2:A79, A79)</f>
        <v>4</v>
      </c>
    </row>
    <row r="80" spans="1:6" x14ac:dyDescent="0.45">
      <c r="A80" t="s">
        <v>9</v>
      </c>
      <c r="B80">
        <v>1990</v>
      </c>
      <c r="C80">
        <v>0.50341352898475522</v>
      </c>
      <c r="D80">
        <v>1986</v>
      </c>
      <c r="E80">
        <v>2000</v>
      </c>
      <c r="F80">
        <f>COUNTIFS($A$2:A80, A80)</f>
        <v>5</v>
      </c>
    </row>
    <row r="81" spans="1:6" x14ac:dyDescent="0.45">
      <c r="A81" t="s">
        <v>9</v>
      </c>
      <c r="B81">
        <v>1991</v>
      </c>
      <c r="C81">
        <v>0.41882101859116561</v>
      </c>
      <c r="D81">
        <v>1986</v>
      </c>
      <c r="E81">
        <v>2000</v>
      </c>
      <c r="F81">
        <f>COUNTIFS($A$2:A81, A81)</f>
        <v>6</v>
      </c>
    </row>
    <row r="82" spans="1:6" x14ac:dyDescent="0.45">
      <c r="A82" t="s">
        <v>9</v>
      </c>
      <c r="B82">
        <v>1992</v>
      </c>
      <c r="C82">
        <v>0.39331497710369562</v>
      </c>
      <c r="D82">
        <v>1986</v>
      </c>
      <c r="E82">
        <v>2000</v>
      </c>
      <c r="F82">
        <f>COUNTIFS($A$2:A82, A82)</f>
        <v>7</v>
      </c>
    </row>
    <row r="83" spans="1:6" x14ac:dyDescent="0.45">
      <c r="A83" t="s">
        <v>9</v>
      </c>
      <c r="B83">
        <v>1993</v>
      </c>
      <c r="C83">
        <v>0.34261036144715917</v>
      </c>
      <c r="D83">
        <v>1986</v>
      </c>
      <c r="E83">
        <v>2000</v>
      </c>
      <c r="F83">
        <f>COUNTIFS($A$2:A83, A83)</f>
        <v>8</v>
      </c>
    </row>
    <row r="84" spans="1:6" x14ac:dyDescent="0.45">
      <c r="A84" t="s">
        <v>9</v>
      </c>
      <c r="B84">
        <v>1994</v>
      </c>
      <c r="C84">
        <v>0.30291791768202841</v>
      </c>
      <c r="D84">
        <v>1986</v>
      </c>
      <c r="E84">
        <v>2000</v>
      </c>
      <c r="F84">
        <f>COUNTIFS($A$2:A84, A84)</f>
        <v>9</v>
      </c>
    </row>
    <row r="85" spans="1:6" x14ac:dyDescent="0.45">
      <c r="A85" t="s">
        <v>9</v>
      </c>
      <c r="B85">
        <v>1995</v>
      </c>
      <c r="C85">
        <v>0.30371747113179259</v>
      </c>
      <c r="D85">
        <v>1986</v>
      </c>
      <c r="E85">
        <v>2000</v>
      </c>
      <c r="F85">
        <f>COUNTIFS($A$2:A85, A85)</f>
        <v>10</v>
      </c>
    </row>
    <row r="86" spans="1:6" x14ac:dyDescent="0.45">
      <c r="A86" t="s">
        <v>9</v>
      </c>
      <c r="B86">
        <v>1996</v>
      </c>
      <c r="C86">
        <v>0.31016248317994238</v>
      </c>
      <c r="D86">
        <v>1986</v>
      </c>
      <c r="E86">
        <v>2000</v>
      </c>
      <c r="F86">
        <f>COUNTIFS($A$2:A86, A86)</f>
        <v>11</v>
      </c>
    </row>
    <row r="87" spans="1:6" x14ac:dyDescent="0.45">
      <c r="A87" t="s">
        <v>9</v>
      </c>
      <c r="B87">
        <v>1997</v>
      </c>
      <c r="C87">
        <v>0.31566000619137358</v>
      </c>
      <c r="D87">
        <v>1986</v>
      </c>
      <c r="E87">
        <v>2000</v>
      </c>
      <c r="F87">
        <f>COUNTIFS($A$2:A87, A87)</f>
        <v>12</v>
      </c>
    </row>
    <row r="88" spans="1:6" x14ac:dyDescent="0.45">
      <c r="A88" t="s">
        <v>9</v>
      </c>
      <c r="B88">
        <v>1998</v>
      </c>
      <c r="C88">
        <v>0.34342844281039192</v>
      </c>
      <c r="D88">
        <v>1986</v>
      </c>
      <c r="E88">
        <v>2000</v>
      </c>
      <c r="F88">
        <f>COUNTIFS($A$2:A88, A88)</f>
        <v>13</v>
      </c>
    </row>
    <row r="89" spans="1:6" x14ac:dyDescent="0.45">
      <c r="A89" t="s">
        <v>9</v>
      </c>
      <c r="B89">
        <v>1999</v>
      </c>
      <c r="C89">
        <v>0.34095558531002518</v>
      </c>
      <c r="D89">
        <v>1986</v>
      </c>
      <c r="E89">
        <v>2000</v>
      </c>
      <c r="F89">
        <f>COUNTIFS($A$2:A89, A89)</f>
        <v>14</v>
      </c>
    </row>
    <row r="90" spans="1:6" x14ac:dyDescent="0.45">
      <c r="A90" t="s">
        <v>9</v>
      </c>
      <c r="B90">
        <v>2000</v>
      </c>
      <c r="C90">
        <v>1.320609356210855</v>
      </c>
      <c r="D90">
        <v>1986</v>
      </c>
      <c r="E90">
        <v>2000</v>
      </c>
      <c r="F90">
        <f>COUNTIFS($A$2:A90, A90)</f>
        <v>15</v>
      </c>
    </row>
    <row r="91" spans="1:6" x14ac:dyDescent="0.45">
      <c r="A91" t="s">
        <v>10</v>
      </c>
      <c r="B91">
        <v>1981</v>
      </c>
      <c r="C91">
        <v>0.5167853896220902</v>
      </c>
      <c r="D91">
        <v>1981</v>
      </c>
      <c r="E91">
        <v>1998</v>
      </c>
      <c r="F91">
        <f>COUNTIFS($A$2:A91, A91)</f>
        <v>1</v>
      </c>
    </row>
    <row r="92" spans="1:6" x14ac:dyDescent="0.45">
      <c r="A92" t="s">
        <v>10</v>
      </c>
      <c r="B92">
        <v>1982</v>
      </c>
      <c r="C92">
        <v>0.52794989787292479</v>
      </c>
      <c r="D92">
        <v>1981</v>
      </c>
      <c r="E92">
        <v>1998</v>
      </c>
      <c r="F92">
        <f>COUNTIFS($A$2:A92, A92)</f>
        <v>2</v>
      </c>
    </row>
    <row r="93" spans="1:6" x14ac:dyDescent="0.45">
      <c r="A93" t="s">
        <v>10</v>
      </c>
      <c r="B93">
        <v>1983</v>
      </c>
      <c r="C93">
        <v>0.54854407626611446</v>
      </c>
      <c r="D93">
        <v>1981</v>
      </c>
      <c r="E93">
        <v>1998</v>
      </c>
      <c r="F93">
        <f>COUNTIFS($A$2:A93, A93)</f>
        <v>3</v>
      </c>
    </row>
    <row r="94" spans="1:6" x14ac:dyDescent="0.45">
      <c r="A94" t="s">
        <v>10</v>
      </c>
      <c r="B94">
        <v>1984</v>
      </c>
      <c r="C94">
        <v>0.575947624435595</v>
      </c>
      <c r="D94">
        <v>1981</v>
      </c>
      <c r="E94">
        <v>1998</v>
      </c>
      <c r="F94">
        <f>COUNTIFS($A$2:A94, A94)</f>
        <v>4</v>
      </c>
    </row>
    <row r="95" spans="1:6" x14ac:dyDescent="0.45">
      <c r="A95" t="s">
        <v>10</v>
      </c>
      <c r="B95">
        <v>1985</v>
      </c>
      <c r="C95">
        <v>0.63144843341891521</v>
      </c>
      <c r="D95">
        <v>1981</v>
      </c>
      <c r="E95">
        <v>1998</v>
      </c>
      <c r="F95">
        <f>COUNTIFS($A$2:A95, A95)</f>
        <v>5</v>
      </c>
    </row>
    <row r="96" spans="1:6" x14ac:dyDescent="0.45">
      <c r="A96" t="s">
        <v>10</v>
      </c>
      <c r="B96">
        <v>1986</v>
      </c>
      <c r="C96">
        <v>0.71586650872068813</v>
      </c>
      <c r="D96">
        <v>1981</v>
      </c>
      <c r="E96">
        <v>1998</v>
      </c>
      <c r="F96">
        <f>COUNTIFS($A$2:A96, A96)</f>
        <v>6</v>
      </c>
    </row>
    <row r="97" spans="1:6" x14ac:dyDescent="0.45">
      <c r="A97" t="s">
        <v>10</v>
      </c>
      <c r="B97">
        <v>1988</v>
      </c>
      <c r="C97">
        <v>0.68116983183740698</v>
      </c>
      <c r="D97">
        <v>1981</v>
      </c>
      <c r="E97">
        <v>1998</v>
      </c>
      <c r="F97">
        <f>COUNTIFS($A$2:A97, A97)</f>
        <v>7</v>
      </c>
    </row>
    <row r="98" spans="1:6" x14ac:dyDescent="0.45">
      <c r="A98" t="s">
        <v>10</v>
      </c>
      <c r="B98">
        <v>1989</v>
      </c>
      <c r="C98">
        <v>0.7131707190872052</v>
      </c>
      <c r="D98">
        <v>1981</v>
      </c>
      <c r="E98">
        <v>1998</v>
      </c>
      <c r="F98">
        <f>COUNTIFS($A$2:A98, A98)</f>
        <v>8</v>
      </c>
    </row>
    <row r="99" spans="1:6" x14ac:dyDescent="0.45">
      <c r="A99" t="s">
        <v>10</v>
      </c>
      <c r="B99">
        <v>1990</v>
      </c>
      <c r="C99">
        <v>0.76246487090792936</v>
      </c>
      <c r="D99">
        <v>1981</v>
      </c>
      <c r="E99">
        <v>1998</v>
      </c>
      <c r="F99">
        <f>COUNTIFS($A$2:A99, A99)</f>
        <v>9</v>
      </c>
    </row>
    <row r="100" spans="1:6" x14ac:dyDescent="0.45">
      <c r="A100" t="s">
        <v>10</v>
      </c>
      <c r="B100">
        <v>1991</v>
      </c>
      <c r="C100">
        <v>0.78085553591809864</v>
      </c>
      <c r="D100">
        <v>1981</v>
      </c>
      <c r="E100">
        <v>1998</v>
      </c>
      <c r="F100">
        <f>COUNTIFS($A$2:A100, A100)</f>
        <v>10</v>
      </c>
    </row>
    <row r="101" spans="1:6" x14ac:dyDescent="0.45">
      <c r="A101" t="s">
        <v>10</v>
      </c>
      <c r="B101">
        <v>1992</v>
      </c>
      <c r="C101">
        <v>0.79124761232883145</v>
      </c>
      <c r="D101">
        <v>1981</v>
      </c>
      <c r="E101">
        <v>1998</v>
      </c>
      <c r="F101">
        <f>COUNTIFS($A$2:A101, A101)</f>
        <v>11</v>
      </c>
    </row>
    <row r="102" spans="1:6" x14ac:dyDescent="0.45">
      <c r="A102" t="s">
        <v>10</v>
      </c>
      <c r="B102">
        <v>1993</v>
      </c>
      <c r="C102">
        <v>0.86967129499983253</v>
      </c>
      <c r="D102">
        <v>1981</v>
      </c>
      <c r="E102">
        <v>1998</v>
      </c>
      <c r="F102">
        <f>COUNTIFS($A$2:A102, A102)</f>
        <v>12</v>
      </c>
    </row>
    <row r="103" spans="1:6" x14ac:dyDescent="0.45">
      <c r="A103" t="s">
        <v>10</v>
      </c>
      <c r="B103">
        <v>1994</v>
      </c>
      <c r="C103">
        <v>0.80738785714192918</v>
      </c>
      <c r="D103">
        <v>1981</v>
      </c>
      <c r="E103">
        <v>1998</v>
      </c>
      <c r="F103">
        <f>COUNTIFS($A$2:A103, A103)</f>
        <v>13</v>
      </c>
    </row>
    <row r="104" spans="1:6" x14ac:dyDescent="0.45">
      <c r="A104" t="s">
        <v>10</v>
      </c>
      <c r="B104">
        <v>1995</v>
      </c>
      <c r="C104">
        <v>0.80558228883886074</v>
      </c>
      <c r="D104">
        <v>1981</v>
      </c>
      <c r="E104">
        <v>1998</v>
      </c>
      <c r="F104">
        <f>COUNTIFS($A$2:A104, A104)</f>
        <v>14</v>
      </c>
    </row>
    <row r="105" spans="1:6" x14ac:dyDescent="0.45">
      <c r="A105" t="s">
        <v>10</v>
      </c>
      <c r="B105">
        <v>1996</v>
      </c>
      <c r="C105">
        <v>0.87240326094137</v>
      </c>
      <c r="D105">
        <v>1981</v>
      </c>
      <c r="E105">
        <v>1998</v>
      </c>
      <c r="F105">
        <f>COUNTIFS($A$2:A105, A105)</f>
        <v>15</v>
      </c>
    </row>
    <row r="106" spans="1:6" x14ac:dyDescent="0.45">
      <c r="A106" t="s">
        <v>10</v>
      </c>
      <c r="B106">
        <v>1997</v>
      </c>
      <c r="C106">
        <v>0.95054519756745437</v>
      </c>
      <c r="D106">
        <v>1981</v>
      </c>
      <c r="E106">
        <v>1998</v>
      </c>
      <c r="F106">
        <f>COUNTIFS($A$2:A106, A106)</f>
        <v>16</v>
      </c>
    </row>
    <row r="107" spans="1:6" x14ac:dyDescent="0.45">
      <c r="A107" t="s">
        <v>10</v>
      </c>
      <c r="B107">
        <v>1998</v>
      </c>
      <c r="C107">
        <v>1.0089026494511499</v>
      </c>
      <c r="D107">
        <v>1981</v>
      </c>
      <c r="E107">
        <v>1998</v>
      </c>
      <c r="F107">
        <f>COUNTIFS($A$2:A107, A107)</f>
        <v>17</v>
      </c>
    </row>
    <row r="108" spans="1:6" x14ac:dyDescent="0.45">
      <c r="A108" t="s">
        <v>11</v>
      </c>
      <c r="B108">
        <v>2005</v>
      </c>
      <c r="C108">
        <v>0.56573908711533671</v>
      </c>
      <c r="D108">
        <v>2005</v>
      </c>
      <c r="E108">
        <v>2009</v>
      </c>
      <c r="F108">
        <f>COUNTIFS($A$2:A108, A108)</f>
        <v>1</v>
      </c>
    </row>
    <row r="109" spans="1:6" x14ac:dyDescent="0.45">
      <c r="A109" t="s">
        <v>11</v>
      </c>
      <c r="B109">
        <v>2006</v>
      </c>
      <c r="C109">
        <v>0.76224565278598466</v>
      </c>
      <c r="D109">
        <v>2005</v>
      </c>
      <c r="E109">
        <v>2009</v>
      </c>
      <c r="F109">
        <f>COUNTIFS($A$2:A109, A109)</f>
        <v>2</v>
      </c>
    </row>
    <row r="110" spans="1:6" x14ac:dyDescent="0.45">
      <c r="A110" t="s">
        <v>11</v>
      </c>
      <c r="B110">
        <v>2007</v>
      </c>
      <c r="C110">
        <v>0.83747613043474811</v>
      </c>
      <c r="D110">
        <v>2005</v>
      </c>
      <c r="E110">
        <v>2009</v>
      </c>
      <c r="F110">
        <f>COUNTIFS($A$2:A110, A110)</f>
        <v>3</v>
      </c>
    </row>
    <row r="111" spans="1:6" x14ac:dyDescent="0.45">
      <c r="A111" t="s">
        <v>11</v>
      </c>
      <c r="B111">
        <v>2008</v>
      </c>
      <c r="C111">
        <v>0.89668872626034357</v>
      </c>
      <c r="D111">
        <v>2005</v>
      </c>
      <c r="E111">
        <v>2009</v>
      </c>
      <c r="F111">
        <f>COUNTIFS($A$2:A111, A111)</f>
        <v>4</v>
      </c>
    </row>
    <row r="112" spans="1:6" x14ac:dyDescent="0.45">
      <c r="A112" t="s">
        <v>11</v>
      </c>
      <c r="B112">
        <v>2009</v>
      </c>
      <c r="C112">
        <v>1.0138303498408141</v>
      </c>
      <c r="D112">
        <v>2005</v>
      </c>
      <c r="E112">
        <v>2009</v>
      </c>
      <c r="F112">
        <f>COUNTIFS($A$2:A112, A112)</f>
        <v>5</v>
      </c>
    </row>
    <row r="113" spans="1:6" x14ac:dyDescent="0.45">
      <c r="A113" t="s">
        <v>12</v>
      </c>
      <c r="B113">
        <v>2001</v>
      </c>
      <c r="C113">
        <v>0.52654566183474927</v>
      </c>
      <c r="D113">
        <v>2001</v>
      </c>
      <c r="E113">
        <v>2020</v>
      </c>
      <c r="F113">
        <f>COUNTIFS($A$2:A113, A113)</f>
        <v>1</v>
      </c>
    </row>
    <row r="114" spans="1:6" x14ac:dyDescent="0.45">
      <c r="A114" t="s">
        <v>12</v>
      </c>
      <c r="B114">
        <v>2002</v>
      </c>
      <c r="C114">
        <v>0.55436378252554908</v>
      </c>
      <c r="D114">
        <v>2001</v>
      </c>
      <c r="E114">
        <v>2020</v>
      </c>
      <c r="F114">
        <f>COUNTIFS($A$2:A114, A114)</f>
        <v>2</v>
      </c>
    </row>
    <row r="115" spans="1:6" x14ac:dyDescent="0.45">
      <c r="A115" t="s">
        <v>12</v>
      </c>
      <c r="B115">
        <v>2003</v>
      </c>
      <c r="C115">
        <v>0.60284482644976733</v>
      </c>
      <c r="D115">
        <v>2001</v>
      </c>
      <c r="E115">
        <v>2020</v>
      </c>
      <c r="F115">
        <f>COUNTIFS($A$2:A115, A115)</f>
        <v>3</v>
      </c>
    </row>
    <row r="116" spans="1:6" x14ac:dyDescent="0.45">
      <c r="A116" t="s">
        <v>12</v>
      </c>
      <c r="B116">
        <v>2004</v>
      </c>
      <c r="C116">
        <v>0.6373274705337626</v>
      </c>
      <c r="D116">
        <v>2001</v>
      </c>
      <c r="E116">
        <v>2020</v>
      </c>
      <c r="F116">
        <f>COUNTIFS($A$2:A116, A116)</f>
        <v>4</v>
      </c>
    </row>
    <row r="117" spans="1:6" x14ac:dyDescent="0.45">
      <c r="A117" t="s">
        <v>12</v>
      </c>
      <c r="B117">
        <v>2005</v>
      </c>
      <c r="C117">
        <v>0.69254733824833314</v>
      </c>
      <c r="D117">
        <v>2001</v>
      </c>
      <c r="E117">
        <v>2020</v>
      </c>
      <c r="F117">
        <f>COUNTIFS($A$2:A117, A117)</f>
        <v>5</v>
      </c>
    </row>
    <row r="118" spans="1:6" x14ac:dyDescent="0.45">
      <c r="A118" t="s">
        <v>12</v>
      </c>
      <c r="B118">
        <v>2006</v>
      </c>
      <c r="C118">
        <v>0.73413899028699359</v>
      </c>
      <c r="D118">
        <v>2001</v>
      </c>
      <c r="E118">
        <v>2020</v>
      </c>
      <c r="F118">
        <f>COUNTIFS($A$2:A118, A118)</f>
        <v>6</v>
      </c>
    </row>
    <row r="119" spans="1:6" x14ac:dyDescent="0.45">
      <c r="A119" t="s">
        <v>12</v>
      </c>
      <c r="B119">
        <v>2007</v>
      </c>
      <c r="C119">
        <v>0.76282884009857854</v>
      </c>
      <c r="D119">
        <v>2001</v>
      </c>
      <c r="E119">
        <v>2020</v>
      </c>
      <c r="F119">
        <f>COUNTIFS($A$2:A119, A119)</f>
        <v>7</v>
      </c>
    </row>
    <row r="120" spans="1:6" x14ac:dyDescent="0.45">
      <c r="A120" t="s">
        <v>12</v>
      </c>
      <c r="B120">
        <v>2008</v>
      </c>
      <c r="C120">
        <v>0.80105326558663181</v>
      </c>
      <c r="D120">
        <v>2001</v>
      </c>
      <c r="E120">
        <v>2020</v>
      </c>
      <c r="F120">
        <f>COUNTIFS($A$2:A120, A120)</f>
        <v>8</v>
      </c>
    </row>
    <row r="121" spans="1:6" x14ac:dyDescent="0.45">
      <c r="A121" t="s">
        <v>12</v>
      </c>
      <c r="B121">
        <v>2009</v>
      </c>
      <c r="C121">
        <v>0.86308636201061983</v>
      </c>
      <c r="D121">
        <v>2001</v>
      </c>
      <c r="E121">
        <v>2020</v>
      </c>
      <c r="F121">
        <f>COUNTIFS($A$2:A121, A121)</f>
        <v>9</v>
      </c>
    </row>
    <row r="122" spans="1:6" x14ac:dyDescent="0.45">
      <c r="A122" t="s">
        <v>12</v>
      </c>
      <c r="B122">
        <v>2010</v>
      </c>
      <c r="C122">
        <v>0.8813321498615444</v>
      </c>
      <c r="D122">
        <v>2001</v>
      </c>
      <c r="E122">
        <v>2020</v>
      </c>
      <c r="F122">
        <f>COUNTIFS($A$2:A122, A122)</f>
        <v>10</v>
      </c>
    </row>
    <row r="123" spans="1:6" x14ac:dyDescent="0.45">
      <c r="A123" t="s">
        <v>12</v>
      </c>
      <c r="B123">
        <v>2011</v>
      </c>
      <c r="C123">
        <v>0.89533783612860807</v>
      </c>
      <c r="D123">
        <v>2001</v>
      </c>
      <c r="E123">
        <v>2020</v>
      </c>
      <c r="F123">
        <f>COUNTIFS($A$2:A123, A123)</f>
        <v>11</v>
      </c>
    </row>
    <row r="124" spans="1:6" x14ac:dyDescent="0.45">
      <c r="A124" t="s">
        <v>12</v>
      </c>
      <c r="B124">
        <v>2012</v>
      </c>
      <c r="C124">
        <v>0.92075477347812618</v>
      </c>
      <c r="D124">
        <v>2001</v>
      </c>
      <c r="E124">
        <v>2020</v>
      </c>
      <c r="F124">
        <f>COUNTIFS($A$2:A124, A124)</f>
        <v>12</v>
      </c>
    </row>
    <row r="125" spans="1:6" x14ac:dyDescent="0.45">
      <c r="A125" t="s">
        <v>12</v>
      </c>
      <c r="B125">
        <v>2013</v>
      </c>
      <c r="C125">
        <v>0.93313414939777983</v>
      </c>
      <c r="D125">
        <v>2001</v>
      </c>
      <c r="E125">
        <v>2020</v>
      </c>
      <c r="F125">
        <f>COUNTIFS($A$2:A125, A125)</f>
        <v>13</v>
      </c>
    </row>
    <row r="126" spans="1:6" x14ac:dyDescent="0.45">
      <c r="A126" t="s">
        <v>12</v>
      </c>
      <c r="B126">
        <v>2014</v>
      </c>
      <c r="C126">
        <v>0.9336620436715164</v>
      </c>
      <c r="D126">
        <v>2001</v>
      </c>
      <c r="E126">
        <v>2020</v>
      </c>
      <c r="F126">
        <f>COUNTIFS($A$2:A126, A126)</f>
        <v>14</v>
      </c>
    </row>
    <row r="127" spans="1:6" x14ac:dyDescent="0.45">
      <c r="A127" t="s">
        <v>12</v>
      </c>
      <c r="B127">
        <v>2015</v>
      </c>
      <c r="C127">
        <v>0.9498506127730838</v>
      </c>
      <c r="D127">
        <v>2001</v>
      </c>
      <c r="E127">
        <v>2020</v>
      </c>
      <c r="F127">
        <f>COUNTIFS($A$2:A127, A127)</f>
        <v>15</v>
      </c>
    </row>
    <row r="128" spans="1:6" x14ac:dyDescent="0.45">
      <c r="A128" t="s">
        <v>12</v>
      </c>
      <c r="B128">
        <v>2016</v>
      </c>
      <c r="C128">
        <v>0.94784370262890727</v>
      </c>
      <c r="D128">
        <v>2001</v>
      </c>
      <c r="E128">
        <v>2020</v>
      </c>
      <c r="F128">
        <f>COUNTIFS($A$2:A128, A128)</f>
        <v>16</v>
      </c>
    </row>
    <row r="129" spans="1:6" x14ac:dyDescent="0.45">
      <c r="A129" t="s">
        <v>12</v>
      </c>
      <c r="B129">
        <v>2017</v>
      </c>
      <c r="C129">
        <v>0.94031757051436093</v>
      </c>
      <c r="D129">
        <v>2001</v>
      </c>
      <c r="E129">
        <v>2020</v>
      </c>
      <c r="F129">
        <f>COUNTIFS($A$2:A129, A129)</f>
        <v>17</v>
      </c>
    </row>
    <row r="130" spans="1:6" x14ac:dyDescent="0.45">
      <c r="A130" t="s">
        <v>12</v>
      </c>
      <c r="B130">
        <v>2018</v>
      </c>
      <c r="C130">
        <v>0.948815247622949</v>
      </c>
      <c r="D130">
        <v>2001</v>
      </c>
      <c r="E130">
        <v>2020</v>
      </c>
      <c r="F130">
        <f>COUNTIFS($A$2:A130, A130)</f>
        <v>18</v>
      </c>
    </row>
    <row r="131" spans="1:6" x14ac:dyDescent="0.45">
      <c r="A131" t="s">
        <v>12</v>
      </c>
      <c r="B131">
        <v>2019</v>
      </c>
      <c r="C131">
        <v>0.95919385539036883</v>
      </c>
      <c r="D131">
        <v>2001</v>
      </c>
      <c r="E131">
        <v>2020</v>
      </c>
      <c r="F131">
        <f>COUNTIFS($A$2:A131, A131)</f>
        <v>19</v>
      </c>
    </row>
    <row r="132" spans="1:6" x14ac:dyDescent="0.45">
      <c r="A132" t="s">
        <v>12</v>
      </c>
      <c r="B132">
        <v>2020</v>
      </c>
      <c r="C132">
        <v>1.0173825125747189</v>
      </c>
      <c r="D132">
        <v>2001</v>
      </c>
      <c r="E132">
        <v>2020</v>
      </c>
      <c r="F132">
        <f>COUNTIFS($A$2:A132, A132)</f>
        <v>20</v>
      </c>
    </row>
    <row r="133" spans="1:6" x14ac:dyDescent="0.45">
      <c r="A133" t="s">
        <v>13</v>
      </c>
      <c r="B133">
        <v>2002</v>
      </c>
      <c r="C133">
        <v>0.55299121247525207</v>
      </c>
      <c r="D133">
        <v>2002</v>
      </c>
      <c r="E133">
        <v>2019</v>
      </c>
      <c r="F133">
        <f>COUNTIFS($A$2:A133, A133)</f>
        <v>1</v>
      </c>
    </row>
    <row r="134" spans="1:6" x14ac:dyDescent="0.45">
      <c r="A134" t="s">
        <v>13</v>
      </c>
      <c r="B134">
        <v>2003</v>
      </c>
      <c r="C134">
        <v>0.54742556018428878</v>
      </c>
      <c r="D134">
        <v>2002</v>
      </c>
      <c r="E134">
        <v>2019</v>
      </c>
      <c r="F134">
        <f>COUNTIFS($A$2:A134, A134)</f>
        <v>2</v>
      </c>
    </row>
    <row r="135" spans="1:6" x14ac:dyDescent="0.45">
      <c r="A135" t="s">
        <v>13</v>
      </c>
      <c r="B135">
        <v>2004</v>
      </c>
      <c r="C135">
        <v>0.61113471696766108</v>
      </c>
      <c r="D135">
        <v>2002</v>
      </c>
      <c r="E135">
        <v>2019</v>
      </c>
      <c r="F135">
        <f>COUNTIFS($A$2:A135, A135)</f>
        <v>3</v>
      </c>
    </row>
    <row r="136" spans="1:6" x14ac:dyDescent="0.45">
      <c r="A136" t="s">
        <v>13</v>
      </c>
      <c r="B136">
        <v>2005</v>
      </c>
      <c r="C136">
        <v>0.69191584794394245</v>
      </c>
      <c r="D136">
        <v>2002</v>
      </c>
      <c r="E136">
        <v>2019</v>
      </c>
      <c r="F136">
        <f>COUNTIFS($A$2:A136, A136)</f>
        <v>4</v>
      </c>
    </row>
    <row r="137" spans="1:6" x14ac:dyDescent="0.45">
      <c r="A137" t="s">
        <v>13</v>
      </c>
      <c r="B137">
        <v>2006</v>
      </c>
      <c r="C137">
        <v>0.79066688970757459</v>
      </c>
      <c r="D137">
        <v>2002</v>
      </c>
      <c r="E137">
        <v>2019</v>
      </c>
      <c r="F137">
        <f>COUNTIFS($A$2:A137, A137)</f>
        <v>5</v>
      </c>
    </row>
    <row r="138" spans="1:6" x14ac:dyDescent="0.45">
      <c r="A138" t="s">
        <v>13</v>
      </c>
      <c r="B138">
        <v>2007</v>
      </c>
      <c r="C138">
        <v>0.78749678277384616</v>
      </c>
      <c r="D138">
        <v>2002</v>
      </c>
      <c r="E138">
        <v>2019</v>
      </c>
      <c r="F138">
        <f>COUNTIFS($A$2:A138, A138)</f>
        <v>6</v>
      </c>
    </row>
    <row r="139" spans="1:6" x14ac:dyDescent="0.45">
      <c r="A139" t="s">
        <v>13</v>
      </c>
      <c r="B139">
        <v>2008</v>
      </c>
      <c r="C139">
        <v>0.85911350888126714</v>
      </c>
      <c r="D139">
        <v>2002</v>
      </c>
      <c r="E139">
        <v>2019</v>
      </c>
      <c r="F139">
        <f>COUNTIFS($A$2:A139, A139)</f>
        <v>7</v>
      </c>
    </row>
    <row r="140" spans="1:6" x14ac:dyDescent="0.45">
      <c r="A140" t="s">
        <v>13</v>
      </c>
      <c r="B140">
        <v>2009</v>
      </c>
      <c r="C140">
        <v>0.89605567220232984</v>
      </c>
      <c r="D140">
        <v>2002</v>
      </c>
      <c r="E140">
        <v>2019</v>
      </c>
      <c r="F140">
        <f>COUNTIFS($A$2:A140, A140)</f>
        <v>8</v>
      </c>
    </row>
    <row r="141" spans="1:6" x14ac:dyDescent="0.45">
      <c r="A141" t="s">
        <v>13</v>
      </c>
      <c r="B141">
        <v>2010</v>
      </c>
      <c r="C141">
        <v>0.83461549549488778</v>
      </c>
      <c r="D141">
        <v>2002</v>
      </c>
      <c r="E141">
        <v>2019</v>
      </c>
      <c r="F141">
        <f>COUNTIFS($A$2:A141, A141)</f>
        <v>9</v>
      </c>
    </row>
    <row r="142" spans="1:6" x14ac:dyDescent="0.45">
      <c r="A142" t="s">
        <v>13</v>
      </c>
      <c r="B142">
        <v>2011</v>
      </c>
      <c r="C142">
        <v>0.75388073263419841</v>
      </c>
      <c r="D142">
        <v>2002</v>
      </c>
      <c r="E142">
        <v>2019</v>
      </c>
      <c r="F142">
        <f>COUNTIFS($A$2:A142, A142)</f>
        <v>10</v>
      </c>
    </row>
    <row r="143" spans="1:6" x14ac:dyDescent="0.45">
      <c r="A143" t="s">
        <v>13</v>
      </c>
      <c r="B143">
        <v>2012</v>
      </c>
      <c r="C143">
        <v>0.76801255594226925</v>
      </c>
      <c r="D143">
        <v>2002</v>
      </c>
      <c r="E143">
        <v>2019</v>
      </c>
      <c r="F143">
        <f>COUNTIFS($A$2:A143, A143)</f>
        <v>11</v>
      </c>
    </row>
    <row r="144" spans="1:6" x14ac:dyDescent="0.45">
      <c r="A144" t="s">
        <v>13</v>
      </c>
      <c r="B144">
        <v>2013</v>
      </c>
      <c r="C144">
        <v>0.74888746535104778</v>
      </c>
      <c r="D144">
        <v>2002</v>
      </c>
      <c r="E144">
        <v>2019</v>
      </c>
      <c r="F144">
        <f>COUNTIFS($A$2:A144, A144)</f>
        <v>12</v>
      </c>
    </row>
    <row r="145" spans="1:6" x14ac:dyDescent="0.45">
      <c r="A145" t="s">
        <v>13</v>
      </c>
      <c r="B145">
        <v>2014</v>
      </c>
      <c r="C145">
        <v>0.72596975982595946</v>
      </c>
      <c r="D145">
        <v>2002</v>
      </c>
      <c r="E145">
        <v>2019</v>
      </c>
      <c r="F145">
        <f>COUNTIFS($A$2:A145, A145)</f>
        <v>13</v>
      </c>
    </row>
    <row r="146" spans="1:6" x14ac:dyDescent="0.45">
      <c r="A146" t="s">
        <v>13</v>
      </c>
      <c r="B146">
        <v>2015</v>
      </c>
      <c r="C146">
        <v>0.78765928937683072</v>
      </c>
      <c r="D146">
        <v>2002</v>
      </c>
      <c r="E146">
        <v>2019</v>
      </c>
      <c r="F146">
        <f>COUNTIFS($A$2:A146, A146)</f>
        <v>14</v>
      </c>
    </row>
    <row r="147" spans="1:6" x14ac:dyDescent="0.45">
      <c r="A147" t="s">
        <v>13</v>
      </c>
      <c r="B147">
        <v>2016</v>
      </c>
      <c r="C147">
        <v>0.84425144937718277</v>
      </c>
      <c r="D147">
        <v>2002</v>
      </c>
      <c r="E147">
        <v>2019</v>
      </c>
      <c r="F147">
        <f>COUNTIFS($A$2:A147, A147)</f>
        <v>15</v>
      </c>
    </row>
    <row r="148" spans="1:6" x14ac:dyDescent="0.45">
      <c r="A148" t="s">
        <v>13</v>
      </c>
      <c r="B148">
        <v>2017</v>
      </c>
      <c r="C148">
        <v>0.8620668121691315</v>
      </c>
      <c r="D148">
        <v>2002</v>
      </c>
      <c r="E148">
        <v>2019</v>
      </c>
      <c r="F148">
        <f>COUNTIFS($A$2:A148, A148)</f>
        <v>16</v>
      </c>
    </row>
    <row r="149" spans="1:6" x14ac:dyDescent="0.45">
      <c r="A149" t="s">
        <v>13</v>
      </c>
      <c r="B149">
        <v>2018</v>
      </c>
      <c r="C149">
        <v>0.92796324740404657</v>
      </c>
      <c r="D149">
        <v>2002</v>
      </c>
      <c r="E149">
        <v>2019</v>
      </c>
      <c r="F149">
        <f>COUNTIFS($A$2:A149, A149)</f>
        <v>17</v>
      </c>
    </row>
    <row r="150" spans="1:6" x14ac:dyDescent="0.45">
      <c r="A150" t="s">
        <v>13</v>
      </c>
      <c r="B150">
        <v>2019</v>
      </c>
      <c r="C150">
        <v>1.041138811666886</v>
      </c>
      <c r="D150">
        <v>2002</v>
      </c>
      <c r="E150">
        <v>2019</v>
      </c>
      <c r="F150">
        <f>COUNTIFS($A$2:A150, A150)</f>
        <v>18</v>
      </c>
    </row>
    <row r="151" spans="1:6" x14ac:dyDescent="0.45">
      <c r="A151" t="s">
        <v>14</v>
      </c>
      <c r="B151">
        <v>2001</v>
      </c>
      <c r="C151">
        <v>0.51696591000447067</v>
      </c>
      <c r="D151">
        <v>2001</v>
      </c>
      <c r="E151">
        <v>2010</v>
      </c>
      <c r="F151">
        <f>COUNTIFS($A$2:A151, A151)</f>
        <v>1</v>
      </c>
    </row>
    <row r="152" spans="1:6" x14ac:dyDescent="0.45">
      <c r="A152" t="s">
        <v>14</v>
      </c>
      <c r="B152">
        <v>2002</v>
      </c>
      <c r="C152">
        <v>0.54871832741520321</v>
      </c>
      <c r="D152">
        <v>2001</v>
      </c>
      <c r="E152">
        <v>2010</v>
      </c>
      <c r="F152">
        <f>COUNTIFS($A$2:A152, A152)</f>
        <v>2</v>
      </c>
    </row>
    <row r="153" spans="1:6" x14ac:dyDescent="0.45">
      <c r="A153" t="s">
        <v>14</v>
      </c>
      <c r="B153">
        <v>2003</v>
      </c>
      <c r="C153">
        <v>0.58731960937714545</v>
      </c>
      <c r="D153">
        <v>2001</v>
      </c>
      <c r="E153">
        <v>2010</v>
      </c>
      <c r="F153">
        <f>COUNTIFS($A$2:A153, A153)</f>
        <v>3</v>
      </c>
    </row>
    <row r="154" spans="1:6" x14ac:dyDescent="0.45">
      <c r="A154" t="s">
        <v>14</v>
      </c>
      <c r="B154">
        <v>2004</v>
      </c>
      <c r="C154">
        <v>0.63877542809832655</v>
      </c>
      <c r="D154">
        <v>2001</v>
      </c>
      <c r="E154">
        <v>2010</v>
      </c>
      <c r="F154">
        <f>COUNTIFS($A$2:A154, A154)</f>
        <v>4</v>
      </c>
    </row>
    <row r="155" spans="1:6" x14ac:dyDescent="0.45">
      <c r="A155" t="s">
        <v>14</v>
      </c>
      <c r="B155">
        <v>2005</v>
      </c>
      <c r="C155">
        <v>0.7365739571979808</v>
      </c>
      <c r="D155">
        <v>2001</v>
      </c>
      <c r="E155">
        <v>2010</v>
      </c>
      <c r="F155">
        <f>COUNTIFS($A$2:A155, A155)</f>
        <v>5</v>
      </c>
    </row>
    <row r="156" spans="1:6" x14ac:dyDescent="0.45">
      <c r="A156" t="s">
        <v>14</v>
      </c>
      <c r="B156">
        <v>2006</v>
      </c>
      <c r="C156">
        <v>0.77545437417718599</v>
      </c>
      <c r="D156">
        <v>2001</v>
      </c>
      <c r="E156">
        <v>2010</v>
      </c>
      <c r="F156">
        <f>COUNTIFS($A$2:A156, A156)</f>
        <v>6</v>
      </c>
    </row>
    <row r="157" spans="1:6" x14ac:dyDescent="0.45">
      <c r="A157" t="s">
        <v>14</v>
      </c>
      <c r="B157">
        <v>2007</v>
      </c>
      <c r="C157">
        <v>0.85798423742853747</v>
      </c>
      <c r="D157">
        <v>2001</v>
      </c>
      <c r="E157">
        <v>2010</v>
      </c>
      <c r="F157">
        <f>COUNTIFS($A$2:A157, A157)</f>
        <v>7</v>
      </c>
    </row>
    <row r="158" spans="1:6" x14ac:dyDescent="0.45">
      <c r="A158" t="s">
        <v>14</v>
      </c>
      <c r="B158">
        <v>2008</v>
      </c>
      <c r="C158">
        <v>0.90507313655528487</v>
      </c>
      <c r="D158">
        <v>2001</v>
      </c>
      <c r="E158">
        <v>2010</v>
      </c>
      <c r="F158">
        <f>COUNTIFS($A$2:A158, A158)</f>
        <v>8</v>
      </c>
    </row>
    <row r="159" spans="1:6" x14ac:dyDescent="0.45">
      <c r="A159" t="s">
        <v>14</v>
      </c>
      <c r="B159">
        <v>2009</v>
      </c>
      <c r="C159">
        <v>0.89224425156619969</v>
      </c>
      <c r="D159">
        <v>2001</v>
      </c>
      <c r="E159">
        <v>2010</v>
      </c>
      <c r="F159">
        <f>COUNTIFS($A$2:A159, A159)</f>
        <v>9</v>
      </c>
    </row>
    <row r="160" spans="1:6" x14ac:dyDescent="0.45">
      <c r="A160" t="s">
        <v>14</v>
      </c>
      <c r="B160">
        <v>2010</v>
      </c>
      <c r="C160">
        <v>1.128142773368531</v>
      </c>
      <c r="D160">
        <v>2001</v>
      </c>
      <c r="E160">
        <v>2010</v>
      </c>
      <c r="F160">
        <f>COUNTIFS($A$2:A160, A160)</f>
        <v>10</v>
      </c>
    </row>
    <row r="161" spans="1:6" x14ac:dyDescent="0.45">
      <c r="A161" t="s">
        <v>15</v>
      </c>
      <c r="B161">
        <v>1960</v>
      </c>
      <c r="C161">
        <v>0.59566198142174664</v>
      </c>
      <c r="D161">
        <v>1960</v>
      </c>
      <c r="E161">
        <v>1986</v>
      </c>
      <c r="F161">
        <f>COUNTIFS($A$2:A161, A161)</f>
        <v>1</v>
      </c>
    </row>
    <row r="162" spans="1:6" x14ac:dyDescent="0.45">
      <c r="A162" t="s">
        <v>15</v>
      </c>
      <c r="B162">
        <v>1961</v>
      </c>
      <c r="C162">
        <v>0.62709508746303966</v>
      </c>
      <c r="D162">
        <v>1960</v>
      </c>
      <c r="E162">
        <v>1986</v>
      </c>
      <c r="F162">
        <f>COUNTIFS($A$2:A162, A162)</f>
        <v>2</v>
      </c>
    </row>
    <row r="163" spans="1:6" x14ac:dyDescent="0.45">
      <c r="A163" t="s">
        <v>15</v>
      </c>
      <c r="B163">
        <v>1962</v>
      </c>
      <c r="C163">
        <v>0.63352524775379104</v>
      </c>
      <c r="D163">
        <v>1960</v>
      </c>
      <c r="E163">
        <v>1986</v>
      </c>
      <c r="F163">
        <f>COUNTIFS($A$2:A163, A163)</f>
        <v>3</v>
      </c>
    </row>
    <row r="164" spans="1:6" x14ac:dyDescent="0.45">
      <c r="A164" t="s">
        <v>15</v>
      </c>
      <c r="B164">
        <v>1970</v>
      </c>
      <c r="C164">
        <v>0.77510483742144232</v>
      </c>
      <c r="D164">
        <v>1960</v>
      </c>
      <c r="E164">
        <v>1986</v>
      </c>
      <c r="F164">
        <f>COUNTIFS($A$2:A164, A164)</f>
        <v>4</v>
      </c>
    </row>
    <row r="165" spans="1:6" x14ac:dyDescent="0.45">
      <c r="A165" t="s">
        <v>15</v>
      </c>
      <c r="B165">
        <v>1971</v>
      </c>
      <c r="C165">
        <v>0.81130872964307021</v>
      </c>
      <c r="D165">
        <v>1960</v>
      </c>
      <c r="E165">
        <v>1986</v>
      </c>
      <c r="F165">
        <f>COUNTIFS($A$2:A165, A165)</f>
        <v>5</v>
      </c>
    </row>
    <row r="166" spans="1:6" x14ac:dyDescent="0.45">
      <c r="A166" t="s">
        <v>15</v>
      </c>
      <c r="B166">
        <v>1972</v>
      </c>
      <c r="C166">
        <v>0.86629680130370912</v>
      </c>
      <c r="D166">
        <v>1960</v>
      </c>
      <c r="E166">
        <v>1986</v>
      </c>
      <c r="F166">
        <f>COUNTIFS($A$2:A166, A166)</f>
        <v>6</v>
      </c>
    </row>
    <row r="167" spans="1:6" x14ac:dyDescent="0.45">
      <c r="A167" t="s">
        <v>15</v>
      </c>
      <c r="B167">
        <v>1981</v>
      </c>
      <c r="C167">
        <v>0.83777606154099815</v>
      </c>
      <c r="D167">
        <v>1960</v>
      </c>
      <c r="E167">
        <v>1986</v>
      </c>
      <c r="F167">
        <f>COUNTIFS($A$2:A167, A167)</f>
        <v>7</v>
      </c>
    </row>
    <row r="168" spans="1:6" x14ac:dyDescent="0.45">
      <c r="A168" t="s">
        <v>15</v>
      </c>
      <c r="B168">
        <v>1982</v>
      </c>
      <c r="C168">
        <v>0.87168824468182027</v>
      </c>
      <c r="D168">
        <v>1960</v>
      </c>
      <c r="E168">
        <v>1986</v>
      </c>
      <c r="F168">
        <f>COUNTIFS($A$2:A168, A168)</f>
        <v>8</v>
      </c>
    </row>
    <row r="169" spans="1:6" x14ac:dyDescent="0.45">
      <c r="A169" t="s">
        <v>15</v>
      </c>
      <c r="B169">
        <v>1983</v>
      </c>
      <c r="C169">
        <v>0.91741683932445905</v>
      </c>
      <c r="D169">
        <v>1960</v>
      </c>
      <c r="E169">
        <v>1986</v>
      </c>
      <c r="F169">
        <f>COUNTIFS($A$2:A169, A169)</f>
        <v>9</v>
      </c>
    </row>
    <row r="170" spans="1:6" x14ac:dyDescent="0.45">
      <c r="A170" t="s">
        <v>15</v>
      </c>
      <c r="B170">
        <v>1984</v>
      </c>
      <c r="C170">
        <v>0.93856909918730169</v>
      </c>
      <c r="D170">
        <v>1960</v>
      </c>
      <c r="E170">
        <v>1986</v>
      </c>
      <c r="F170">
        <f>COUNTIFS($A$2:A170, A170)</f>
        <v>10</v>
      </c>
    </row>
    <row r="171" spans="1:6" x14ac:dyDescent="0.45">
      <c r="A171" t="s">
        <v>15</v>
      </c>
      <c r="B171">
        <v>1985</v>
      </c>
      <c r="C171">
        <v>0.9952545276758693</v>
      </c>
      <c r="D171">
        <v>1960</v>
      </c>
      <c r="E171">
        <v>1986</v>
      </c>
      <c r="F171">
        <f>COUNTIFS($A$2:A171, A171)</f>
        <v>11</v>
      </c>
    </row>
    <row r="172" spans="1:6" x14ac:dyDescent="0.45">
      <c r="A172" t="s">
        <v>15</v>
      </c>
      <c r="B172">
        <v>1986</v>
      </c>
      <c r="C172">
        <v>1.096207220762961</v>
      </c>
      <c r="D172">
        <v>1960</v>
      </c>
      <c r="E172">
        <v>1986</v>
      </c>
      <c r="F172">
        <f>COUNTIFS($A$2:A172, A172)</f>
        <v>12</v>
      </c>
    </row>
    <row r="173" spans="1:6" x14ac:dyDescent="0.45">
      <c r="A173" t="s">
        <v>16</v>
      </c>
      <c r="B173">
        <v>1999</v>
      </c>
      <c r="C173">
        <v>0.52217992148491588</v>
      </c>
      <c r="D173">
        <v>1999</v>
      </c>
      <c r="E173">
        <v>2018</v>
      </c>
      <c r="F173">
        <f>COUNTIFS($A$2:A173, A173)</f>
        <v>1</v>
      </c>
    </row>
    <row r="174" spans="1:6" x14ac:dyDescent="0.45">
      <c r="A174" t="s">
        <v>16</v>
      </c>
      <c r="B174">
        <v>2000</v>
      </c>
      <c r="C174">
        <v>0.52643576791457636</v>
      </c>
      <c r="D174">
        <v>1999</v>
      </c>
      <c r="E174">
        <v>2018</v>
      </c>
      <c r="F174">
        <f>COUNTIFS($A$2:A174, A174)</f>
        <v>2</v>
      </c>
    </row>
    <row r="175" spans="1:6" x14ac:dyDescent="0.45">
      <c r="A175" t="s">
        <v>16</v>
      </c>
      <c r="B175">
        <v>2001</v>
      </c>
      <c r="C175">
        <v>0.507821318840323</v>
      </c>
      <c r="D175">
        <v>1999</v>
      </c>
      <c r="E175">
        <v>2018</v>
      </c>
      <c r="F175">
        <f>COUNTIFS($A$2:A175, A175)</f>
        <v>3</v>
      </c>
    </row>
    <row r="176" spans="1:6" x14ac:dyDescent="0.45">
      <c r="A176" t="s">
        <v>16</v>
      </c>
      <c r="B176">
        <v>2002</v>
      </c>
      <c r="C176">
        <v>0.54539584726848556</v>
      </c>
      <c r="D176">
        <v>1999</v>
      </c>
      <c r="E176">
        <v>2018</v>
      </c>
      <c r="F176">
        <f>COUNTIFS($A$2:A176, A176)</f>
        <v>4</v>
      </c>
    </row>
    <row r="177" spans="1:6" x14ac:dyDescent="0.45">
      <c r="A177" t="s">
        <v>16</v>
      </c>
      <c r="B177">
        <v>2003</v>
      </c>
      <c r="C177">
        <v>0.58138824733890249</v>
      </c>
      <c r="D177">
        <v>1999</v>
      </c>
      <c r="E177">
        <v>2018</v>
      </c>
      <c r="F177">
        <f>COUNTIFS($A$2:A177, A177)</f>
        <v>5</v>
      </c>
    </row>
    <row r="178" spans="1:6" x14ac:dyDescent="0.45">
      <c r="A178" t="s">
        <v>16</v>
      </c>
      <c r="B178">
        <v>2004</v>
      </c>
      <c r="C178">
        <v>0.57333967564739219</v>
      </c>
      <c r="D178">
        <v>1999</v>
      </c>
      <c r="E178">
        <v>2018</v>
      </c>
      <c r="F178">
        <f>COUNTIFS($A$2:A178, A178)</f>
        <v>6</v>
      </c>
    </row>
    <row r="179" spans="1:6" x14ac:dyDescent="0.45">
      <c r="A179" t="s">
        <v>16</v>
      </c>
      <c r="B179">
        <v>2005</v>
      </c>
      <c r="C179">
        <v>0.55959341672520557</v>
      </c>
      <c r="D179">
        <v>1999</v>
      </c>
      <c r="E179">
        <v>2018</v>
      </c>
      <c r="F179">
        <f>COUNTIFS($A$2:A179, A179)</f>
        <v>7</v>
      </c>
    </row>
    <row r="180" spans="1:6" x14ac:dyDescent="0.45">
      <c r="A180" t="s">
        <v>16</v>
      </c>
      <c r="B180">
        <v>2006</v>
      </c>
      <c r="C180">
        <v>0.57808062161479778</v>
      </c>
      <c r="D180">
        <v>1999</v>
      </c>
      <c r="E180">
        <v>2018</v>
      </c>
      <c r="F180">
        <f>COUNTIFS($A$2:A180, A180)</f>
        <v>8</v>
      </c>
    </row>
    <row r="181" spans="1:6" x14ac:dyDescent="0.45">
      <c r="A181" t="s">
        <v>16</v>
      </c>
      <c r="B181">
        <v>2007</v>
      </c>
      <c r="C181">
        <v>0.60852693120303114</v>
      </c>
      <c r="D181">
        <v>1999</v>
      </c>
      <c r="E181">
        <v>2018</v>
      </c>
      <c r="F181">
        <f>COUNTIFS($A$2:A181, A181)</f>
        <v>9</v>
      </c>
    </row>
    <row r="182" spans="1:6" x14ac:dyDescent="0.45">
      <c r="A182" t="s">
        <v>16</v>
      </c>
      <c r="B182">
        <v>2008</v>
      </c>
      <c r="C182">
        <v>0.60543868398391398</v>
      </c>
      <c r="D182">
        <v>1999</v>
      </c>
      <c r="E182">
        <v>2018</v>
      </c>
      <c r="F182">
        <f>COUNTIFS($A$2:A182, A182)</f>
        <v>10</v>
      </c>
    </row>
    <row r="183" spans="1:6" x14ac:dyDescent="0.45">
      <c r="A183" t="s">
        <v>16</v>
      </c>
      <c r="B183">
        <v>2009</v>
      </c>
      <c r="C183">
        <v>0.70361724695728833</v>
      </c>
      <c r="D183">
        <v>1999</v>
      </c>
      <c r="E183">
        <v>2018</v>
      </c>
      <c r="F183">
        <f>COUNTIFS($A$2:A183, A183)</f>
        <v>11</v>
      </c>
    </row>
    <row r="184" spans="1:6" x14ac:dyDescent="0.45">
      <c r="A184" t="s">
        <v>16</v>
      </c>
      <c r="B184">
        <v>2010</v>
      </c>
      <c r="C184">
        <v>0.7163034337869143</v>
      </c>
      <c r="D184">
        <v>1999</v>
      </c>
      <c r="E184">
        <v>2018</v>
      </c>
      <c r="F184">
        <f>COUNTIFS($A$2:A184, A184)</f>
        <v>12</v>
      </c>
    </row>
    <row r="185" spans="1:6" x14ac:dyDescent="0.45">
      <c r="A185" t="s">
        <v>16</v>
      </c>
      <c r="B185">
        <v>2011</v>
      </c>
      <c r="C185">
        <v>0.72731357243877237</v>
      </c>
      <c r="D185">
        <v>1999</v>
      </c>
      <c r="E185">
        <v>2018</v>
      </c>
      <c r="F185">
        <f>COUNTIFS($A$2:A185, A185)</f>
        <v>13</v>
      </c>
    </row>
    <row r="186" spans="1:6" x14ac:dyDescent="0.45">
      <c r="A186" t="s">
        <v>16</v>
      </c>
      <c r="B186">
        <v>2012</v>
      </c>
      <c r="C186">
        <v>0.77133525523308055</v>
      </c>
      <c r="D186">
        <v>1999</v>
      </c>
      <c r="E186">
        <v>2018</v>
      </c>
      <c r="F186">
        <f>COUNTIFS($A$2:A186, A186)</f>
        <v>14</v>
      </c>
    </row>
    <row r="187" spans="1:6" x14ac:dyDescent="0.45">
      <c r="A187" t="s">
        <v>16</v>
      </c>
      <c r="B187">
        <v>2013</v>
      </c>
      <c r="C187">
        <v>0.82278448973122253</v>
      </c>
      <c r="D187">
        <v>1999</v>
      </c>
      <c r="E187">
        <v>2018</v>
      </c>
      <c r="F187">
        <f>COUNTIFS($A$2:A187, A187)</f>
        <v>15</v>
      </c>
    </row>
    <row r="188" spans="1:6" x14ac:dyDescent="0.45">
      <c r="A188" t="s">
        <v>16</v>
      </c>
      <c r="B188">
        <v>2014</v>
      </c>
      <c r="C188">
        <v>0.87992444613680965</v>
      </c>
      <c r="D188">
        <v>1999</v>
      </c>
      <c r="E188">
        <v>2018</v>
      </c>
      <c r="F188">
        <f>COUNTIFS($A$2:A188, A188)</f>
        <v>16</v>
      </c>
    </row>
    <row r="189" spans="1:6" x14ac:dyDescent="0.45">
      <c r="A189" t="s">
        <v>16</v>
      </c>
      <c r="B189">
        <v>2015</v>
      </c>
      <c r="C189">
        <v>0.97029268040241912</v>
      </c>
      <c r="D189">
        <v>1999</v>
      </c>
      <c r="E189">
        <v>2018</v>
      </c>
      <c r="F189">
        <f>COUNTIFS($A$2:A189, A189)</f>
        <v>17</v>
      </c>
    </row>
    <row r="190" spans="1:6" x14ac:dyDescent="0.45">
      <c r="A190" t="s">
        <v>16</v>
      </c>
      <c r="B190">
        <v>2016</v>
      </c>
      <c r="C190">
        <v>0.98590103049597633</v>
      </c>
      <c r="D190">
        <v>1999</v>
      </c>
      <c r="E190">
        <v>2018</v>
      </c>
      <c r="F190">
        <f>COUNTIFS($A$2:A190, A190)</f>
        <v>18</v>
      </c>
    </row>
    <row r="191" spans="1:6" x14ac:dyDescent="0.45">
      <c r="A191" t="s">
        <v>16</v>
      </c>
      <c r="B191">
        <v>2017</v>
      </c>
      <c r="C191">
        <v>0.98153560436856213</v>
      </c>
      <c r="D191">
        <v>1999</v>
      </c>
      <c r="E191">
        <v>2018</v>
      </c>
      <c r="F191">
        <f>COUNTIFS($A$2:A191, A191)</f>
        <v>19</v>
      </c>
    </row>
    <row r="192" spans="1:6" x14ac:dyDescent="0.45">
      <c r="A192" t="s">
        <v>16</v>
      </c>
      <c r="B192">
        <v>2018</v>
      </c>
      <c r="C192">
        <v>1.0347021628773749</v>
      </c>
      <c r="D192">
        <v>1999</v>
      </c>
      <c r="E192">
        <v>2018</v>
      </c>
      <c r="F192">
        <f>COUNTIFS($A$2:A192, A192)</f>
        <v>20</v>
      </c>
    </row>
    <row r="193" spans="1:6" x14ac:dyDescent="0.45">
      <c r="A193" t="s">
        <v>17</v>
      </c>
      <c r="B193">
        <v>2002</v>
      </c>
      <c r="C193">
        <v>0.50968485498628247</v>
      </c>
      <c r="D193">
        <v>2002</v>
      </c>
      <c r="E193">
        <v>2020</v>
      </c>
      <c r="F193">
        <f>COUNTIFS($A$2:A193, A193)</f>
        <v>1</v>
      </c>
    </row>
    <row r="194" spans="1:6" x14ac:dyDescent="0.45">
      <c r="A194" t="s">
        <v>17</v>
      </c>
      <c r="B194">
        <v>2003</v>
      </c>
      <c r="C194">
        <v>0.54209467472687978</v>
      </c>
      <c r="D194">
        <v>2002</v>
      </c>
      <c r="E194">
        <v>2020</v>
      </c>
      <c r="F194">
        <f>COUNTIFS($A$2:A194, A194)</f>
        <v>2</v>
      </c>
    </row>
    <row r="195" spans="1:6" x14ac:dyDescent="0.45">
      <c r="A195" t="s">
        <v>17</v>
      </c>
      <c r="B195">
        <v>2004</v>
      </c>
      <c r="C195">
        <v>0.53603607503112671</v>
      </c>
      <c r="D195">
        <v>2002</v>
      </c>
      <c r="E195">
        <v>2020</v>
      </c>
      <c r="F195">
        <f>COUNTIFS($A$2:A195, A195)</f>
        <v>3</v>
      </c>
    </row>
    <row r="196" spans="1:6" x14ac:dyDescent="0.45">
      <c r="A196" t="s">
        <v>17</v>
      </c>
      <c r="B196">
        <v>2005</v>
      </c>
      <c r="C196">
        <v>0.52463711502813026</v>
      </c>
      <c r="D196">
        <v>2002</v>
      </c>
      <c r="E196">
        <v>2020</v>
      </c>
      <c r="F196">
        <f>COUNTIFS($A$2:A196, A196)</f>
        <v>4</v>
      </c>
    </row>
    <row r="197" spans="1:6" x14ac:dyDescent="0.45">
      <c r="A197" t="s">
        <v>17</v>
      </c>
      <c r="B197">
        <v>2006</v>
      </c>
      <c r="C197">
        <v>0.54149668194877532</v>
      </c>
      <c r="D197">
        <v>2002</v>
      </c>
      <c r="E197">
        <v>2020</v>
      </c>
      <c r="F197">
        <f>COUNTIFS($A$2:A197, A197)</f>
        <v>5</v>
      </c>
    </row>
    <row r="198" spans="1:6" x14ac:dyDescent="0.45">
      <c r="A198" t="s">
        <v>17</v>
      </c>
      <c r="B198">
        <v>2007</v>
      </c>
      <c r="C198">
        <v>0.57366147551916324</v>
      </c>
      <c r="D198">
        <v>2002</v>
      </c>
      <c r="E198">
        <v>2020</v>
      </c>
      <c r="F198">
        <f>COUNTIFS($A$2:A198, A198)</f>
        <v>6</v>
      </c>
    </row>
    <row r="199" spans="1:6" x14ac:dyDescent="0.45">
      <c r="A199" t="s">
        <v>17</v>
      </c>
      <c r="B199">
        <v>2008</v>
      </c>
      <c r="C199">
        <v>0.57417862658447061</v>
      </c>
      <c r="D199">
        <v>2002</v>
      </c>
      <c r="E199">
        <v>2020</v>
      </c>
      <c r="F199">
        <f>COUNTIFS($A$2:A199, A199)</f>
        <v>7</v>
      </c>
    </row>
    <row r="200" spans="1:6" x14ac:dyDescent="0.45">
      <c r="A200" t="s">
        <v>17</v>
      </c>
      <c r="B200">
        <v>2009</v>
      </c>
      <c r="C200">
        <v>0.66697625761324442</v>
      </c>
      <c r="D200">
        <v>2002</v>
      </c>
      <c r="E200">
        <v>2020</v>
      </c>
      <c r="F200">
        <f>COUNTIFS($A$2:A200, A200)</f>
        <v>8</v>
      </c>
    </row>
    <row r="201" spans="1:6" x14ac:dyDescent="0.45">
      <c r="A201" t="s">
        <v>17</v>
      </c>
      <c r="B201">
        <v>2010</v>
      </c>
      <c r="C201">
        <v>0.68000376475737834</v>
      </c>
      <c r="D201">
        <v>2002</v>
      </c>
      <c r="E201">
        <v>2020</v>
      </c>
      <c r="F201">
        <f>COUNTIFS($A$2:A201, A201)</f>
        <v>9</v>
      </c>
    </row>
    <row r="202" spans="1:6" x14ac:dyDescent="0.45">
      <c r="A202" t="s">
        <v>17</v>
      </c>
      <c r="B202">
        <v>2011</v>
      </c>
      <c r="C202">
        <v>0.69018577469197895</v>
      </c>
      <c r="D202">
        <v>2002</v>
      </c>
      <c r="E202">
        <v>2020</v>
      </c>
      <c r="F202">
        <f>COUNTIFS($A$2:A202, A202)</f>
        <v>10</v>
      </c>
    </row>
    <row r="203" spans="1:6" x14ac:dyDescent="0.45">
      <c r="A203" t="s">
        <v>17</v>
      </c>
      <c r="B203">
        <v>2012</v>
      </c>
      <c r="C203">
        <v>0.7328602428445421</v>
      </c>
      <c r="D203">
        <v>2002</v>
      </c>
      <c r="E203">
        <v>2020</v>
      </c>
      <c r="F203">
        <f>COUNTIFS($A$2:A203, A203)</f>
        <v>11</v>
      </c>
    </row>
    <row r="204" spans="1:6" x14ac:dyDescent="0.45">
      <c r="A204" t="s">
        <v>17</v>
      </c>
      <c r="B204">
        <v>2013</v>
      </c>
      <c r="C204">
        <v>0.77760092179956064</v>
      </c>
      <c r="D204">
        <v>2002</v>
      </c>
      <c r="E204">
        <v>2020</v>
      </c>
      <c r="F204">
        <f>COUNTIFS($A$2:A204, A204)</f>
        <v>12</v>
      </c>
    </row>
    <row r="205" spans="1:6" x14ac:dyDescent="0.45">
      <c r="A205" t="s">
        <v>17</v>
      </c>
      <c r="B205">
        <v>2014</v>
      </c>
      <c r="C205">
        <v>0.83052059424806757</v>
      </c>
      <c r="D205">
        <v>2002</v>
      </c>
      <c r="E205">
        <v>2020</v>
      </c>
      <c r="F205">
        <f>COUNTIFS($A$2:A205, A205)</f>
        <v>13</v>
      </c>
    </row>
    <row r="206" spans="1:6" x14ac:dyDescent="0.45">
      <c r="A206" t="s">
        <v>17</v>
      </c>
      <c r="B206">
        <v>2015</v>
      </c>
      <c r="C206">
        <v>0.91496572867834447</v>
      </c>
      <c r="D206">
        <v>2002</v>
      </c>
      <c r="E206">
        <v>2020</v>
      </c>
      <c r="F206">
        <f>COUNTIFS($A$2:A206, A206)</f>
        <v>14</v>
      </c>
    </row>
    <row r="207" spans="1:6" x14ac:dyDescent="0.45">
      <c r="A207" t="s">
        <v>17</v>
      </c>
      <c r="B207">
        <v>2016</v>
      </c>
      <c r="C207">
        <v>0.93118922947277782</v>
      </c>
      <c r="D207">
        <v>2002</v>
      </c>
      <c r="E207">
        <v>2020</v>
      </c>
      <c r="F207">
        <f>COUNTIFS($A$2:A207, A207)</f>
        <v>15</v>
      </c>
    </row>
    <row r="208" spans="1:6" x14ac:dyDescent="0.45">
      <c r="A208" t="s">
        <v>17</v>
      </c>
      <c r="B208">
        <v>2017</v>
      </c>
      <c r="C208">
        <v>0.92885775407510029</v>
      </c>
      <c r="D208">
        <v>2002</v>
      </c>
      <c r="E208">
        <v>2020</v>
      </c>
      <c r="F208">
        <f>COUNTIFS($A$2:A208, A208)</f>
        <v>16</v>
      </c>
    </row>
    <row r="209" spans="1:6" x14ac:dyDescent="0.45">
      <c r="A209" t="s">
        <v>17</v>
      </c>
      <c r="B209">
        <v>2018</v>
      </c>
      <c r="C209">
        <v>0.97765842284505278</v>
      </c>
      <c r="D209">
        <v>2002</v>
      </c>
      <c r="E209">
        <v>2020</v>
      </c>
      <c r="F209">
        <f>COUNTIFS($A$2:A209, A209)</f>
        <v>17</v>
      </c>
    </row>
    <row r="210" spans="1:6" x14ac:dyDescent="0.45">
      <c r="A210" t="s">
        <v>17</v>
      </c>
      <c r="B210">
        <v>2019</v>
      </c>
      <c r="C210">
        <v>0.99450323267807139</v>
      </c>
      <c r="D210">
        <v>2002</v>
      </c>
      <c r="E210">
        <v>2020</v>
      </c>
      <c r="F210">
        <f>COUNTIFS($A$2:A210, A210)</f>
        <v>18</v>
      </c>
    </row>
    <row r="211" spans="1:6" x14ac:dyDescent="0.45">
      <c r="A211" t="s">
        <v>17</v>
      </c>
      <c r="B211">
        <v>2020</v>
      </c>
      <c r="C211">
        <v>1.129320663438925</v>
      </c>
      <c r="D211">
        <v>2002</v>
      </c>
      <c r="E211">
        <v>2020</v>
      </c>
      <c r="F211">
        <f>COUNTIFS($A$2:A211, A211)</f>
        <v>19</v>
      </c>
    </row>
    <row r="212" spans="1:6" x14ac:dyDescent="0.45">
      <c r="A212" t="s">
        <v>18</v>
      </c>
      <c r="B212">
        <v>1997</v>
      </c>
      <c r="C212">
        <v>0.63789220262941726</v>
      </c>
      <c r="D212">
        <v>1997</v>
      </c>
      <c r="E212">
        <v>2003</v>
      </c>
      <c r="F212">
        <f>COUNTIFS($A$2:A212, A212)</f>
        <v>1</v>
      </c>
    </row>
    <row r="213" spans="1:6" x14ac:dyDescent="0.45">
      <c r="A213" t="s">
        <v>18</v>
      </c>
      <c r="B213">
        <v>1998</v>
      </c>
      <c r="C213">
        <v>0.61405869678169789</v>
      </c>
      <c r="D213">
        <v>1997</v>
      </c>
      <c r="E213">
        <v>2003</v>
      </c>
      <c r="F213">
        <f>COUNTIFS($A$2:A213, A213)</f>
        <v>2</v>
      </c>
    </row>
    <row r="214" spans="1:6" x14ac:dyDescent="0.45">
      <c r="A214" t="s">
        <v>18</v>
      </c>
      <c r="B214">
        <v>1999</v>
      </c>
      <c r="C214">
        <v>0.69988926929005313</v>
      </c>
      <c r="D214">
        <v>1997</v>
      </c>
      <c r="E214">
        <v>2003</v>
      </c>
      <c r="F214">
        <f>COUNTIFS($A$2:A214, A214)</f>
        <v>3</v>
      </c>
    </row>
    <row r="215" spans="1:6" x14ac:dyDescent="0.45">
      <c r="A215" t="s">
        <v>18</v>
      </c>
      <c r="B215">
        <v>2000</v>
      </c>
      <c r="C215">
        <v>0.92357949748270007</v>
      </c>
      <c r="D215">
        <v>1997</v>
      </c>
      <c r="E215">
        <v>2003</v>
      </c>
      <c r="F215">
        <f>COUNTIFS($A$2:A215, A215)</f>
        <v>4</v>
      </c>
    </row>
    <row r="216" spans="1:6" x14ac:dyDescent="0.45">
      <c r="A216" t="s">
        <v>18</v>
      </c>
      <c r="B216">
        <v>2001</v>
      </c>
      <c r="C216">
        <v>0.94088912065708352</v>
      </c>
      <c r="D216">
        <v>1997</v>
      </c>
      <c r="E216">
        <v>2003</v>
      </c>
      <c r="F216">
        <f>COUNTIFS($A$2:A216, A216)</f>
        <v>5</v>
      </c>
    </row>
    <row r="217" spans="1:6" x14ac:dyDescent="0.45">
      <c r="A217" t="s">
        <v>18</v>
      </c>
      <c r="B217">
        <v>2002</v>
      </c>
      <c r="C217">
        <v>0.99511216813059533</v>
      </c>
      <c r="D217">
        <v>1997</v>
      </c>
      <c r="E217">
        <v>2003</v>
      </c>
      <c r="F217">
        <f>COUNTIFS($A$2:A217, A217)</f>
        <v>6</v>
      </c>
    </row>
    <row r="218" spans="1:6" x14ac:dyDescent="0.45">
      <c r="A218" t="s">
        <v>18</v>
      </c>
      <c r="B218">
        <v>2003</v>
      </c>
      <c r="C218">
        <v>1.2368039991882369</v>
      </c>
      <c r="D218">
        <v>1997</v>
      </c>
      <c r="E218">
        <v>2003</v>
      </c>
      <c r="F218">
        <f>COUNTIFS($A$2:A218, A218)</f>
        <v>7</v>
      </c>
    </row>
    <row r="219" spans="1:6" x14ac:dyDescent="0.45">
      <c r="A219" t="s">
        <v>19</v>
      </c>
      <c r="B219">
        <v>2015</v>
      </c>
      <c r="C219">
        <v>0.55489547672368578</v>
      </c>
      <c r="D219">
        <v>2015</v>
      </c>
      <c r="E219">
        <v>2020</v>
      </c>
      <c r="F219">
        <f>COUNTIFS($A$2:A219, A219)</f>
        <v>1</v>
      </c>
    </row>
    <row r="220" spans="1:6" x14ac:dyDescent="0.45">
      <c r="A220" t="s">
        <v>19</v>
      </c>
      <c r="B220">
        <v>2016</v>
      </c>
      <c r="C220">
        <v>0.6156088863701592</v>
      </c>
      <c r="D220">
        <v>2015</v>
      </c>
      <c r="E220">
        <v>2020</v>
      </c>
      <c r="F220">
        <f>COUNTIFS($A$2:A220, A220)</f>
        <v>2</v>
      </c>
    </row>
    <row r="221" spans="1:6" x14ac:dyDescent="0.45">
      <c r="A221" t="s">
        <v>19</v>
      </c>
      <c r="B221">
        <v>2017</v>
      </c>
      <c r="C221">
        <v>0.6546272053235479</v>
      </c>
      <c r="D221">
        <v>2015</v>
      </c>
      <c r="E221">
        <v>2020</v>
      </c>
      <c r="F221">
        <f>COUNTIFS($A$2:A221, A221)</f>
        <v>3</v>
      </c>
    </row>
    <row r="222" spans="1:6" x14ac:dyDescent="0.45">
      <c r="A222" t="s">
        <v>19</v>
      </c>
      <c r="B222">
        <v>2018</v>
      </c>
      <c r="C222">
        <v>0.73816426973472704</v>
      </c>
      <c r="D222">
        <v>2015</v>
      </c>
      <c r="E222">
        <v>2020</v>
      </c>
      <c r="F222">
        <f>COUNTIFS($A$2:A222, A222)</f>
        <v>4</v>
      </c>
    </row>
    <row r="223" spans="1:6" x14ac:dyDescent="0.45">
      <c r="A223" t="s">
        <v>19</v>
      </c>
      <c r="B223">
        <v>2019</v>
      </c>
      <c r="C223">
        <v>0.84323673857974912</v>
      </c>
      <c r="D223">
        <v>2015</v>
      </c>
      <c r="E223">
        <v>2020</v>
      </c>
      <c r="F223">
        <f>COUNTIFS($A$2:A223, A223)</f>
        <v>5</v>
      </c>
    </row>
    <row r="224" spans="1:6" x14ac:dyDescent="0.45">
      <c r="A224" t="s">
        <v>19</v>
      </c>
      <c r="B224">
        <v>2020</v>
      </c>
      <c r="C224">
        <v>1.037327699600874</v>
      </c>
      <c r="D224">
        <v>2015</v>
      </c>
      <c r="E224">
        <v>2020</v>
      </c>
      <c r="F224">
        <f>COUNTIFS($A$2:A224, A224)</f>
        <v>6</v>
      </c>
    </row>
    <row r="225" spans="1:6" x14ac:dyDescent="0.45">
      <c r="A225" t="s">
        <v>20</v>
      </c>
      <c r="B225">
        <v>1996</v>
      </c>
      <c r="C225">
        <v>0.50146287165566039</v>
      </c>
      <c r="D225">
        <v>1996</v>
      </c>
      <c r="E225">
        <v>2002</v>
      </c>
      <c r="F225">
        <f>COUNTIFS($A$2:A225, A225)</f>
        <v>1</v>
      </c>
    </row>
    <row r="226" spans="1:6" x14ac:dyDescent="0.45">
      <c r="A226" t="s">
        <v>20</v>
      </c>
      <c r="B226">
        <v>1997</v>
      </c>
      <c r="C226">
        <v>0.54801784828600075</v>
      </c>
      <c r="D226">
        <v>1996</v>
      </c>
      <c r="E226">
        <v>2002</v>
      </c>
      <c r="F226">
        <f>COUNTIFS($A$2:A226, A226)</f>
        <v>2</v>
      </c>
    </row>
    <row r="227" spans="1:6" x14ac:dyDescent="0.45">
      <c r="A227" t="s">
        <v>20</v>
      </c>
      <c r="B227">
        <v>1998</v>
      </c>
      <c r="C227">
        <v>0.59608694098226811</v>
      </c>
      <c r="D227">
        <v>1996</v>
      </c>
      <c r="E227">
        <v>2002</v>
      </c>
      <c r="F227">
        <f>COUNTIFS($A$2:A227, A227)</f>
        <v>3</v>
      </c>
    </row>
    <row r="228" spans="1:6" x14ac:dyDescent="0.45">
      <c r="A228" t="s">
        <v>20</v>
      </c>
      <c r="B228">
        <v>1999</v>
      </c>
      <c r="C228">
        <v>0.64488125567533716</v>
      </c>
      <c r="D228">
        <v>1996</v>
      </c>
      <c r="E228">
        <v>2002</v>
      </c>
      <c r="F228">
        <f>COUNTIFS($A$2:A228, A228)</f>
        <v>4</v>
      </c>
    </row>
    <row r="229" spans="1:6" x14ac:dyDescent="0.45">
      <c r="A229" t="s">
        <v>20</v>
      </c>
      <c r="B229">
        <v>2000</v>
      </c>
      <c r="C229">
        <v>0.69186672361226909</v>
      </c>
      <c r="D229">
        <v>1996</v>
      </c>
      <c r="E229">
        <v>2002</v>
      </c>
      <c r="F229">
        <f>COUNTIFS($A$2:A229, A229)</f>
        <v>5</v>
      </c>
    </row>
    <row r="230" spans="1:6" x14ac:dyDescent="0.45">
      <c r="A230" t="s">
        <v>20</v>
      </c>
      <c r="B230">
        <v>2001</v>
      </c>
      <c r="C230">
        <v>0.99608241094077699</v>
      </c>
      <c r="D230">
        <v>1996</v>
      </c>
      <c r="E230">
        <v>2002</v>
      </c>
      <c r="F230">
        <f>COUNTIFS($A$2:A230, A230)</f>
        <v>6</v>
      </c>
    </row>
    <row r="231" spans="1:6" x14ac:dyDescent="0.45">
      <c r="A231" t="s">
        <v>20</v>
      </c>
      <c r="B231">
        <v>2002</v>
      </c>
      <c r="C231">
        <v>1.087053820502901</v>
      </c>
      <c r="D231">
        <v>1996</v>
      </c>
      <c r="E231">
        <v>2002</v>
      </c>
      <c r="F231">
        <f>COUNTIFS($A$2:A231, A231)</f>
        <v>7</v>
      </c>
    </row>
    <row r="232" spans="1:6" x14ac:dyDescent="0.45">
      <c r="A232" t="s">
        <v>21</v>
      </c>
      <c r="B232">
        <v>1981</v>
      </c>
      <c r="C232">
        <v>0.52439232373121691</v>
      </c>
      <c r="D232">
        <v>1981</v>
      </c>
      <c r="E232">
        <v>2016</v>
      </c>
      <c r="F232">
        <f>COUNTIFS($A$2:A232, A232)</f>
        <v>1</v>
      </c>
    </row>
    <row r="233" spans="1:6" x14ac:dyDescent="0.45">
      <c r="A233" t="s">
        <v>21</v>
      </c>
      <c r="B233">
        <v>1982</v>
      </c>
      <c r="C233">
        <v>0.72187436929557069</v>
      </c>
      <c r="D233">
        <v>1981</v>
      </c>
      <c r="E233">
        <v>2016</v>
      </c>
      <c r="F233">
        <f>COUNTIFS($A$2:A233, A233)</f>
        <v>2</v>
      </c>
    </row>
    <row r="234" spans="1:6" x14ac:dyDescent="0.45">
      <c r="A234" t="s">
        <v>21</v>
      </c>
      <c r="B234">
        <v>1983</v>
      </c>
      <c r="C234">
        <v>0.71785041493216961</v>
      </c>
      <c r="D234">
        <v>1981</v>
      </c>
      <c r="E234">
        <v>2016</v>
      </c>
      <c r="F234">
        <f>COUNTIFS($A$2:A234, A234)</f>
        <v>3</v>
      </c>
    </row>
    <row r="235" spans="1:6" x14ac:dyDescent="0.45">
      <c r="A235" t="s">
        <v>21</v>
      </c>
      <c r="B235">
        <v>1984</v>
      </c>
      <c r="C235">
        <v>0.72431307814084178</v>
      </c>
      <c r="D235">
        <v>1981</v>
      </c>
      <c r="E235">
        <v>2016</v>
      </c>
      <c r="F235">
        <f>COUNTIFS($A$2:A235, A235)</f>
        <v>4</v>
      </c>
    </row>
    <row r="236" spans="1:6" x14ac:dyDescent="0.45">
      <c r="A236" t="s">
        <v>21</v>
      </c>
      <c r="B236">
        <v>1985</v>
      </c>
      <c r="C236">
        <v>0.73427039631376412</v>
      </c>
      <c r="D236">
        <v>1981</v>
      </c>
      <c r="E236">
        <v>2016</v>
      </c>
      <c r="F236">
        <f>COUNTIFS($A$2:A236, A236)</f>
        <v>5</v>
      </c>
    </row>
    <row r="237" spans="1:6" x14ac:dyDescent="0.45">
      <c r="A237" t="s">
        <v>21</v>
      </c>
      <c r="B237">
        <v>1986</v>
      </c>
      <c r="C237">
        <v>0.935456050393077</v>
      </c>
      <c r="D237">
        <v>1981</v>
      </c>
      <c r="E237">
        <v>2016</v>
      </c>
      <c r="F237">
        <f>COUNTIFS($A$2:A237, A237)</f>
        <v>6</v>
      </c>
    </row>
    <row r="238" spans="1:6" x14ac:dyDescent="0.45">
      <c r="A238" t="s">
        <v>21</v>
      </c>
      <c r="B238">
        <v>1987</v>
      </c>
      <c r="C238">
        <v>0.83021432107030046</v>
      </c>
      <c r="D238">
        <v>1981</v>
      </c>
      <c r="E238">
        <v>2016</v>
      </c>
      <c r="F238">
        <f>COUNTIFS($A$2:A238, A238)</f>
        <v>7</v>
      </c>
    </row>
    <row r="239" spans="1:6" x14ac:dyDescent="0.45">
      <c r="A239" t="s">
        <v>21</v>
      </c>
      <c r="B239">
        <v>1988</v>
      </c>
      <c r="C239">
        <v>0.90845633112409641</v>
      </c>
      <c r="D239">
        <v>1981</v>
      </c>
      <c r="E239">
        <v>2016</v>
      </c>
      <c r="F239">
        <f>COUNTIFS($A$2:A239, A239)</f>
        <v>8</v>
      </c>
    </row>
    <row r="240" spans="1:6" x14ac:dyDescent="0.45">
      <c r="A240" t="s">
        <v>21</v>
      </c>
      <c r="B240">
        <v>1989</v>
      </c>
      <c r="C240">
        <v>0.7370815568723752</v>
      </c>
      <c r="D240">
        <v>1981</v>
      </c>
      <c r="E240">
        <v>2016</v>
      </c>
      <c r="F240">
        <f>COUNTIFS($A$2:A240, A240)</f>
        <v>9</v>
      </c>
    </row>
    <row r="241" spans="1:6" x14ac:dyDescent="0.45">
      <c r="A241" t="s">
        <v>21</v>
      </c>
      <c r="B241">
        <v>1991</v>
      </c>
      <c r="C241">
        <v>0.26730143355171038</v>
      </c>
      <c r="D241">
        <v>1981</v>
      </c>
      <c r="E241">
        <v>2016</v>
      </c>
      <c r="F241">
        <f>COUNTIFS($A$2:A241, A241)</f>
        <v>10</v>
      </c>
    </row>
    <row r="242" spans="1:6" x14ac:dyDescent="0.45">
      <c r="A242" t="s">
        <v>21</v>
      </c>
      <c r="B242">
        <v>1992</v>
      </c>
      <c r="C242">
        <v>0.17724190891200711</v>
      </c>
      <c r="D242">
        <v>1981</v>
      </c>
      <c r="E242">
        <v>2016</v>
      </c>
      <c r="F242">
        <f>COUNTIFS($A$2:A242, A242)</f>
        <v>11</v>
      </c>
    </row>
    <row r="243" spans="1:6" x14ac:dyDescent="0.45">
      <c r="A243" t="s">
        <v>21</v>
      </c>
      <c r="B243">
        <v>1993</v>
      </c>
      <c r="C243">
        <v>0.1716249624047422</v>
      </c>
      <c r="D243">
        <v>1981</v>
      </c>
      <c r="E243">
        <v>2016</v>
      </c>
      <c r="F243">
        <f>COUNTIFS($A$2:A243, A243)</f>
        <v>12</v>
      </c>
    </row>
    <row r="244" spans="1:6" x14ac:dyDescent="0.45">
      <c r="A244" t="s">
        <v>21</v>
      </c>
      <c r="B244">
        <v>1994</v>
      </c>
      <c r="C244">
        <v>0.23078591724061989</v>
      </c>
      <c r="D244">
        <v>1981</v>
      </c>
      <c r="E244">
        <v>2016</v>
      </c>
      <c r="F244">
        <f>COUNTIFS($A$2:A244, A244)</f>
        <v>13</v>
      </c>
    </row>
    <row r="245" spans="1:6" x14ac:dyDescent="0.45">
      <c r="A245" t="s">
        <v>21</v>
      </c>
      <c r="B245">
        <v>1995</v>
      </c>
      <c r="C245">
        <v>0.30026251247858621</v>
      </c>
      <c r="D245">
        <v>1981</v>
      </c>
      <c r="E245">
        <v>2016</v>
      </c>
      <c r="F245">
        <f>COUNTIFS($A$2:A245, A245)</f>
        <v>14</v>
      </c>
    </row>
    <row r="246" spans="1:6" x14ac:dyDescent="0.45">
      <c r="A246" t="s">
        <v>21</v>
      </c>
      <c r="B246">
        <v>1996</v>
      </c>
      <c r="C246">
        <v>0.33652204346119979</v>
      </c>
      <c r="D246">
        <v>1981</v>
      </c>
      <c r="E246">
        <v>2016</v>
      </c>
      <c r="F246">
        <f>COUNTIFS($A$2:A246, A246)</f>
        <v>15</v>
      </c>
    </row>
    <row r="247" spans="1:6" x14ac:dyDescent="0.45">
      <c r="A247" t="s">
        <v>21</v>
      </c>
      <c r="B247">
        <v>1997</v>
      </c>
      <c r="C247">
        <v>0.46967968979113039</v>
      </c>
      <c r="D247">
        <v>1981</v>
      </c>
      <c r="E247">
        <v>2016</v>
      </c>
      <c r="F247">
        <f>COUNTIFS($A$2:A247, A247)</f>
        <v>16</v>
      </c>
    </row>
    <row r="248" spans="1:6" x14ac:dyDescent="0.45">
      <c r="A248" t="s">
        <v>21</v>
      </c>
      <c r="B248">
        <v>1998</v>
      </c>
      <c r="C248">
        <v>0.60729779295516351</v>
      </c>
      <c r="D248">
        <v>1981</v>
      </c>
      <c r="E248">
        <v>2016</v>
      </c>
      <c r="F248">
        <f>COUNTIFS($A$2:A248, A248)</f>
        <v>17</v>
      </c>
    </row>
    <row r="249" spans="1:6" x14ac:dyDescent="0.45">
      <c r="A249" t="s">
        <v>21</v>
      </c>
      <c r="B249">
        <v>1999</v>
      </c>
      <c r="C249">
        <v>0.54692083710481254</v>
      </c>
      <c r="D249">
        <v>1981</v>
      </c>
      <c r="E249">
        <v>2016</v>
      </c>
      <c r="F249">
        <f>COUNTIFS($A$2:A249, A249)</f>
        <v>18</v>
      </c>
    </row>
    <row r="250" spans="1:6" x14ac:dyDescent="0.45">
      <c r="A250" t="s">
        <v>21</v>
      </c>
      <c r="B250">
        <v>2000</v>
      </c>
      <c r="C250">
        <v>0.45389488604444139</v>
      </c>
      <c r="D250">
        <v>1981</v>
      </c>
      <c r="E250">
        <v>2016</v>
      </c>
      <c r="F250">
        <f>COUNTIFS($A$2:A250, A250)</f>
        <v>19</v>
      </c>
    </row>
    <row r="251" spans="1:6" x14ac:dyDescent="0.45">
      <c r="A251" t="s">
        <v>21</v>
      </c>
      <c r="B251">
        <v>2001</v>
      </c>
      <c r="C251">
        <v>0.56630542056074762</v>
      </c>
      <c r="D251">
        <v>1981</v>
      </c>
      <c r="E251">
        <v>2016</v>
      </c>
      <c r="F251">
        <f>COUNTIFS($A$2:A251, A251)</f>
        <v>20</v>
      </c>
    </row>
    <row r="252" spans="1:6" x14ac:dyDescent="0.45">
      <c r="A252" t="s">
        <v>21</v>
      </c>
      <c r="B252">
        <v>2002</v>
      </c>
      <c r="C252">
        <v>0.58337066436583263</v>
      </c>
      <c r="D252">
        <v>1981</v>
      </c>
      <c r="E252">
        <v>2016</v>
      </c>
      <c r="F252">
        <f>COUNTIFS($A$2:A252, A252)</f>
        <v>21</v>
      </c>
    </row>
    <row r="253" spans="1:6" x14ac:dyDescent="0.45">
      <c r="A253" t="s">
        <v>21</v>
      </c>
      <c r="B253">
        <v>2003</v>
      </c>
      <c r="C253">
        <v>0.59464569081529661</v>
      </c>
      <c r="D253">
        <v>1981</v>
      </c>
      <c r="E253">
        <v>2016</v>
      </c>
      <c r="F253">
        <f>COUNTIFS($A$2:A253, A253)</f>
        <v>22</v>
      </c>
    </row>
    <row r="254" spans="1:6" x14ac:dyDescent="0.45">
      <c r="A254" t="s">
        <v>21</v>
      </c>
      <c r="B254">
        <v>2004</v>
      </c>
      <c r="C254">
        <v>0.5636454354986955</v>
      </c>
      <c r="D254">
        <v>1981</v>
      </c>
      <c r="E254">
        <v>2016</v>
      </c>
      <c r="F254">
        <f>COUNTIFS($A$2:A254, A254)</f>
        <v>23</v>
      </c>
    </row>
    <row r="255" spans="1:6" x14ac:dyDescent="0.45">
      <c r="A255" t="s">
        <v>21</v>
      </c>
      <c r="B255">
        <v>2005</v>
      </c>
      <c r="C255">
        <v>0.50932667039655499</v>
      </c>
      <c r="D255">
        <v>1981</v>
      </c>
      <c r="E255">
        <v>2016</v>
      </c>
      <c r="F255">
        <f>COUNTIFS($A$2:A255, A255)</f>
        <v>24</v>
      </c>
    </row>
    <row r="256" spans="1:6" x14ac:dyDescent="0.45">
      <c r="A256" t="s">
        <v>21</v>
      </c>
      <c r="B256">
        <v>2006</v>
      </c>
      <c r="C256">
        <v>0.49954142418432618</v>
      </c>
      <c r="D256">
        <v>1981</v>
      </c>
      <c r="E256">
        <v>2016</v>
      </c>
      <c r="F256">
        <f>COUNTIFS($A$2:A256, A256)</f>
        <v>25</v>
      </c>
    </row>
    <row r="257" spans="1:6" x14ac:dyDescent="0.45">
      <c r="A257" t="s">
        <v>21</v>
      </c>
      <c r="B257">
        <v>2007</v>
      </c>
      <c r="C257">
        <v>0.59579387733804778</v>
      </c>
      <c r="D257">
        <v>1981</v>
      </c>
      <c r="E257">
        <v>2016</v>
      </c>
      <c r="F257">
        <f>COUNTIFS($A$2:A257, A257)</f>
        <v>26</v>
      </c>
    </row>
    <row r="258" spans="1:6" x14ac:dyDescent="0.45">
      <c r="A258" t="s">
        <v>21</v>
      </c>
      <c r="B258">
        <v>2008</v>
      </c>
      <c r="C258">
        <v>0.57264928141989613</v>
      </c>
      <c r="D258">
        <v>1981</v>
      </c>
      <c r="E258">
        <v>2016</v>
      </c>
      <c r="F258">
        <f>COUNTIFS($A$2:A258, A258)</f>
        <v>27</v>
      </c>
    </row>
    <row r="259" spans="1:6" x14ac:dyDescent="0.45">
      <c r="A259" t="s">
        <v>21</v>
      </c>
      <c r="B259">
        <v>2009</v>
      </c>
      <c r="C259">
        <v>0.79071926994182884</v>
      </c>
      <c r="D259">
        <v>1981</v>
      </c>
      <c r="E259">
        <v>2016</v>
      </c>
      <c r="F259">
        <f>COUNTIFS($A$2:A259, A259)</f>
        <v>28</v>
      </c>
    </row>
    <row r="260" spans="1:6" x14ac:dyDescent="0.45">
      <c r="A260" t="s">
        <v>21</v>
      </c>
      <c r="B260">
        <v>2010</v>
      </c>
      <c r="C260">
        <v>0.7463938306575284</v>
      </c>
      <c r="D260">
        <v>1981</v>
      </c>
      <c r="E260">
        <v>2016</v>
      </c>
      <c r="F260">
        <f>COUNTIFS($A$2:A260, A260)</f>
        <v>29</v>
      </c>
    </row>
    <row r="261" spans="1:6" x14ac:dyDescent="0.45">
      <c r="A261" t="s">
        <v>21</v>
      </c>
      <c r="B261">
        <v>2011</v>
      </c>
      <c r="C261">
        <v>0.60806258189383777</v>
      </c>
      <c r="D261">
        <v>1981</v>
      </c>
      <c r="E261">
        <v>2016</v>
      </c>
      <c r="F261">
        <f>COUNTIFS($A$2:A261, A261)</f>
        <v>30</v>
      </c>
    </row>
    <row r="262" spans="1:6" x14ac:dyDescent="0.45">
      <c r="A262" t="s">
        <v>21</v>
      </c>
      <c r="B262">
        <v>2012</v>
      </c>
      <c r="C262">
        <v>0.55743368272945515</v>
      </c>
      <c r="D262">
        <v>1981</v>
      </c>
      <c r="E262">
        <v>2016</v>
      </c>
      <c r="F262">
        <f>COUNTIFS($A$2:A262, A262)</f>
        <v>31</v>
      </c>
    </row>
    <row r="263" spans="1:6" x14ac:dyDescent="0.45">
      <c r="A263" t="s">
        <v>21</v>
      </c>
      <c r="B263">
        <v>2013</v>
      </c>
      <c r="C263">
        <v>0.59751887354110966</v>
      </c>
      <c r="D263">
        <v>1981</v>
      </c>
      <c r="E263">
        <v>2016</v>
      </c>
      <c r="F263">
        <f>COUNTIFS($A$2:A263, A263)</f>
        <v>32</v>
      </c>
    </row>
    <row r="264" spans="1:6" x14ac:dyDescent="0.45">
      <c r="A264" t="s">
        <v>21</v>
      </c>
      <c r="B264">
        <v>2014</v>
      </c>
      <c r="C264">
        <v>0.67640715737781454</v>
      </c>
      <c r="D264">
        <v>1981</v>
      </c>
      <c r="E264">
        <v>2016</v>
      </c>
      <c r="F264">
        <f>COUNTIFS($A$2:A264, A264)</f>
        <v>33</v>
      </c>
    </row>
    <row r="265" spans="1:6" x14ac:dyDescent="0.45">
      <c r="A265" t="s">
        <v>21</v>
      </c>
      <c r="B265">
        <v>2015</v>
      </c>
      <c r="C265">
        <v>0.98510790393407599</v>
      </c>
      <c r="D265">
        <v>1981</v>
      </c>
      <c r="E265">
        <v>2016</v>
      </c>
      <c r="F265">
        <f>COUNTIFS($A$2:A265, A265)</f>
        <v>34</v>
      </c>
    </row>
    <row r="266" spans="1:6" x14ac:dyDescent="0.45">
      <c r="A266" t="s">
        <v>21</v>
      </c>
      <c r="B266">
        <v>2016</v>
      </c>
      <c r="C266">
        <v>1.051868128345617</v>
      </c>
      <c r="D266">
        <v>1981</v>
      </c>
      <c r="E266">
        <v>2016</v>
      </c>
      <c r="F266">
        <f>COUNTIFS($A$2:A266, A266)</f>
        <v>35</v>
      </c>
    </row>
    <row r="267" spans="1:6" x14ac:dyDescent="0.45">
      <c r="A267" t="s">
        <v>22</v>
      </c>
      <c r="B267">
        <v>1988</v>
      </c>
      <c r="C267">
        <v>0.54550737382668524</v>
      </c>
      <c r="D267">
        <v>1988</v>
      </c>
      <c r="E267">
        <v>2015</v>
      </c>
      <c r="F267">
        <f>COUNTIFS($A$2:A267, A267)</f>
        <v>1</v>
      </c>
    </row>
    <row r="268" spans="1:6" x14ac:dyDescent="0.45">
      <c r="A268" t="s">
        <v>22</v>
      </c>
      <c r="B268">
        <v>1989</v>
      </c>
      <c r="C268">
        <v>0.65548293858870854</v>
      </c>
      <c r="D268">
        <v>1988</v>
      </c>
      <c r="E268">
        <v>2015</v>
      </c>
      <c r="F268">
        <f>COUNTIFS($A$2:A268, A268)</f>
        <v>2</v>
      </c>
    </row>
    <row r="269" spans="1:6" x14ac:dyDescent="0.45">
      <c r="A269" t="s">
        <v>22</v>
      </c>
      <c r="B269">
        <v>1990</v>
      </c>
      <c r="C269">
        <v>0.79377498363157328</v>
      </c>
      <c r="D269">
        <v>1988</v>
      </c>
      <c r="E269">
        <v>2015</v>
      </c>
      <c r="F269">
        <f>COUNTIFS($A$2:A269, A269)</f>
        <v>3</v>
      </c>
    </row>
    <row r="270" spans="1:6" x14ac:dyDescent="0.45">
      <c r="A270" t="s">
        <v>22</v>
      </c>
      <c r="B270">
        <v>1991</v>
      </c>
      <c r="C270">
        <v>0.45735857244855932</v>
      </c>
      <c r="D270">
        <v>1988</v>
      </c>
      <c r="E270">
        <v>2015</v>
      </c>
      <c r="F270">
        <f>COUNTIFS($A$2:A270, A270)</f>
        <v>4</v>
      </c>
    </row>
    <row r="271" spans="1:6" x14ac:dyDescent="0.45">
      <c r="A271" t="s">
        <v>22</v>
      </c>
      <c r="B271">
        <v>1992</v>
      </c>
      <c r="C271">
        <v>0.48948358208563719</v>
      </c>
      <c r="D271">
        <v>1988</v>
      </c>
      <c r="E271">
        <v>2015</v>
      </c>
      <c r="F271">
        <f>COUNTIFS($A$2:A271, A271)</f>
        <v>5</v>
      </c>
    </row>
    <row r="272" spans="1:6" x14ac:dyDescent="0.45">
      <c r="A272" t="s">
        <v>22</v>
      </c>
      <c r="B272">
        <v>1993</v>
      </c>
      <c r="C272">
        <v>0.42968591913577397</v>
      </c>
      <c r="D272">
        <v>1988</v>
      </c>
      <c r="E272">
        <v>2015</v>
      </c>
      <c r="F272">
        <f>COUNTIFS($A$2:A272, A272)</f>
        <v>6</v>
      </c>
    </row>
    <row r="273" spans="1:6" x14ac:dyDescent="0.45">
      <c r="A273" t="s">
        <v>22</v>
      </c>
      <c r="B273">
        <v>1994</v>
      </c>
      <c r="C273">
        <v>0.48816395863420731</v>
      </c>
      <c r="D273">
        <v>1988</v>
      </c>
      <c r="E273">
        <v>2015</v>
      </c>
      <c r="F273">
        <f>COUNTIFS($A$2:A273, A273)</f>
        <v>7</v>
      </c>
    </row>
    <row r="274" spans="1:6" x14ac:dyDescent="0.45">
      <c r="A274" t="s">
        <v>22</v>
      </c>
      <c r="B274">
        <v>1995</v>
      </c>
      <c r="C274">
        <v>0.54944632552265449</v>
      </c>
      <c r="D274">
        <v>1988</v>
      </c>
      <c r="E274">
        <v>2015</v>
      </c>
      <c r="F274">
        <f>COUNTIFS($A$2:A274, A274)</f>
        <v>8</v>
      </c>
    </row>
    <row r="275" spans="1:6" x14ac:dyDescent="0.45">
      <c r="A275" t="s">
        <v>22</v>
      </c>
      <c r="B275">
        <v>1996</v>
      </c>
      <c r="C275">
        <v>0.60548535978399209</v>
      </c>
      <c r="D275">
        <v>1988</v>
      </c>
      <c r="E275">
        <v>2015</v>
      </c>
      <c r="F275">
        <f>COUNTIFS($A$2:A275, A275)</f>
        <v>9</v>
      </c>
    </row>
    <row r="276" spans="1:6" x14ac:dyDescent="0.45">
      <c r="A276" t="s">
        <v>22</v>
      </c>
      <c r="B276">
        <v>1997</v>
      </c>
      <c r="C276">
        <v>0.66139999999999999</v>
      </c>
      <c r="D276">
        <v>1988</v>
      </c>
      <c r="E276">
        <v>2015</v>
      </c>
      <c r="F276">
        <f>COUNTIFS($A$2:A276, A276)</f>
        <v>10</v>
      </c>
    </row>
    <row r="277" spans="1:6" x14ac:dyDescent="0.45">
      <c r="A277" t="s">
        <v>22</v>
      </c>
      <c r="B277">
        <v>1998</v>
      </c>
      <c r="C277">
        <v>0.73891315155455273</v>
      </c>
      <c r="D277">
        <v>1988</v>
      </c>
      <c r="E277">
        <v>2015</v>
      </c>
      <c r="F277">
        <f>COUNTIFS($A$2:A277, A277)</f>
        <v>11</v>
      </c>
    </row>
    <row r="278" spans="1:6" x14ac:dyDescent="0.45">
      <c r="A278" t="s">
        <v>22</v>
      </c>
      <c r="B278">
        <v>1999</v>
      </c>
      <c r="C278">
        <v>0.82267475117263478</v>
      </c>
      <c r="D278">
        <v>1988</v>
      </c>
      <c r="E278">
        <v>2015</v>
      </c>
      <c r="F278">
        <f>COUNTIFS($A$2:A278, A278)</f>
        <v>12</v>
      </c>
    </row>
    <row r="279" spans="1:6" x14ac:dyDescent="0.45">
      <c r="A279" t="s">
        <v>22</v>
      </c>
      <c r="B279">
        <v>2000</v>
      </c>
      <c r="C279">
        <v>0.87901614142966944</v>
      </c>
      <c r="D279">
        <v>1988</v>
      </c>
      <c r="E279">
        <v>2015</v>
      </c>
      <c r="F279">
        <f>COUNTIFS($A$2:A279, A279)</f>
        <v>13</v>
      </c>
    </row>
    <row r="280" spans="1:6" x14ac:dyDescent="0.45">
      <c r="A280" t="s">
        <v>22</v>
      </c>
      <c r="B280">
        <v>2001</v>
      </c>
      <c r="C280">
        <v>0.86022851129402023</v>
      </c>
      <c r="D280">
        <v>1988</v>
      </c>
      <c r="E280">
        <v>2015</v>
      </c>
      <c r="F280">
        <f>COUNTIFS($A$2:A280, A280)</f>
        <v>14</v>
      </c>
    </row>
    <row r="281" spans="1:6" x14ac:dyDescent="0.45">
      <c r="A281" t="s">
        <v>22</v>
      </c>
      <c r="B281">
        <v>2002</v>
      </c>
      <c r="C281">
        <v>0.82574567054585757</v>
      </c>
      <c r="D281">
        <v>1988</v>
      </c>
      <c r="E281">
        <v>2015</v>
      </c>
      <c r="F281">
        <f>COUNTIFS($A$2:A281, A281)</f>
        <v>15</v>
      </c>
    </row>
    <row r="282" spans="1:6" x14ac:dyDescent="0.45">
      <c r="A282" t="s">
        <v>22</v>
      </c>
      <c r="B282">
        <v>2003</v>
      </c>
      <c r="C282">
        <v>0.78642870355078442</v>
      </c>
      <c r="D282">
        <v>1988</v>
      </c>
      <c r="E282">
        <v>2015</v>
      </c>
      <c r="F282">
        <f>COUNTIFS($A$2:A282, A282)</f>
        <v>16</v>
      </c>
    </row>
    <row r="283" spans="1:6" x14ac:dyDescent="0.45">
      <c r="A283" t="s">
        <v>22</v>
      </c>
      <c r="B283">
        <v>2004</v>
      </c>
      <c r="C283">
        <v>0.78125687195620552</v>
      </c>
      <c r="D283">
        <v>1988</v>
      </c>
      <c r="E283">
        <v>2015</v>
      </c>
      <c r="F283">
        <f>COUNTIFS($A$2:A283, A283)</f>
        <v>17</v>
      </c>
    </row>
    <row r="284" spans="1:6" x14ac:dyDescent="0.45">
      <c r="A284" t="s">
        <v>22</v>
      </c>
      <c r="B284">
        <v>2005</v>
      </c>
      <c r="C284">
        <v>0.69669526446321384</v>
      </c>
      <c r="D284">
        <v>1988</v>
      </c>
      <c r="E284">
        <v>2015</v>
      </c>
      <c r="F284">
        <f>COUNTIFS($A$2:A284, A284)</f>
        <v>18</v>
      </c>
    </row>
    <row r="285" spans="1:6" x14ac:dyDescent="0.45">
      <c r="A285" t="s">
        <v>22</v>
      </c>
      <c r="B285">
        <v>2006</v>
      </c>
      <c r="C285">
        <v>0.71811094223920502</v>
      </c>
      <c r="D285">
        <v>1988</v>
      </c>
      <c r="E285">
        <v>2015</v>
      </c>
      <c r="F285">
        <f>COUNTIFS($A$2:A285, A285)</f>
        <v>19</v>
      </c>
    </row>
    <row r="286" spans="1:6" x14ac:dyDescent="0.45">
      <c r="A286" t="s">
        <v>22</v>
      </c>
      <c r="B286">
        <v>2007</v>
      </c>
      <c r="C286">
        <v>0.74106420124924055</v>
      </c>
      <c r="D286">
        <v>1988</v>
      </c>
      <c r="E286">
        <v>2015</v>
      </c>
      <c r="F286">
        <f>COUNTIFS($A$2:A286, A286)</f>
        <v>20</v>
      </c>
    </row>
    <row r="287" spans="1:6" x14ac:dyDescent="0.45">
      <c r="A287" t="s">
        <v>22</v>
      </c>
      <c r="B287">
        <v>2008</v>
      </c>
      <c r="C287">
        <v>0.76275272711160935</v>
      </c>
      <c r="D287">
        <v>1988</v>
      </c>
      <c r="E287">
        <v>2015</v>
      </c>
      <c r="F287">
        <f>COUNTIFS($A$2:A287, A287)</f>
        <v>21</v>
      </c>
    </row>
    <row r="288" spans="1:6" x14ac:dyDescent="0.45">
      <c r="A288" t="s">
        <v>22</v>
      </c>
      <c r="B288">
        <v>2009</v>
      </c>
      <c r="C288">
        <v>0.72044693613297706</v>
      </c>
      <c r="D288">
        <v>1988</v>
      </c>
      <c r="E288">
        <v>2015</v>
      </c>
      <c r="F288">
        <f>COUNTIFS($A$2:A288, A288)</f>
        <v>22</v>
      </c>
    </row>
    <row r="289" spans="1:6" x14ac:dyDescent="0.45">
      <c r="A289" t="s">
        <v>22</v>
      </c>
      <c r="B289">
        <v>2010</v>
      </c>
      <c r="C289">
        <v>0.82528480012555017</v>
      </c>
      <c r="D289">
        <v>1988</v>
      </c>
      <c r="E289">
        <v>2015</v>
      </c>
      <c r="F289">
        <f>COUNTIFS($A$2:A289, A289)</f>
        <v>23</v>
      </c>
    </row>
    <row r="290" spans="1:6" x14ac:dyDescent="0.45">
      <c r="A290" t="s">
        <v>22</v>
      </c>
      <c r="B290">
        <v>2011</v>
      </c>
      <c r="C290">
        <v>0.89987856569182023</v>
      </c>
      <c r="D290">
        <v>1988</v>
      </c>
      <c r="E290">
        <v>2015</v>
      </c>
      <c r="F290">
        <f>COUNTIFS($A$2:A290, A290)</f>
        <v>24</v>
      </c>
    </row>
    <row r="291" spans="1:6" x14ac:dyDescent="0.45">
      <c r="A291" t="s">
        <v>22</v>
      </c>
      <c r="B291">
        <v>2012</v>
      </c>
      <c r="C291">
        <v>0.89955330272469625</v>
      </c>
      <c r="D291">
        <v>1988</v>
      </c>
      <c r="E291">
        <v>2015</v>
      </c>
      <c r="F291">
        <f>COUNTIFS($A$2:A291, A291)</f>
        <v>25</v>
      </c>
    </row>
    <row r="292" spans="1:6" x14ac:dyDescent="0.45">
      <c r="A292" t="s">
        <v>22</v>
      </c>
      <c r="B292">
        <v>2013</v>
      </c>
      <c r="C292">
        <v>0.93317292930294249</v>
      </c>
      <c r="D292">
        <v>1988</v>
      </c>
      <c r="E292">
        <v>2015</v>
      </c>
      <c r="F292">
        <f>COUNTIFS($A$2:A292, A292)</f>
        <v>26</v>
      </c>
    </row>
    <row r="293" spans="1:6" x14ac:dyDescent="0.45">
      <c r="A293" t="s">
        <v>22</v>
      </c>
      <c r="B293">
        <v>2014</v>
      </c>
      <c r="C293">
        <v>0.98225547584796746</v>
      </c>
      <c r="D293">
        <v>1988</v>
      </c>
      <c r="E293">
        <v>2015</v>
      </c>
      <c r="F293">
        <f>COUNTIFS($A$2:A293, A293)</f>
        <v>27</v>
      </c>
    </row>
    <row r="294" spans="1:6" x14ac:dyDescent="0.45">
      <c r="A294" t="s">
        <v>22</v>
      </c>
      <c r="B294">
        <v>2015</v>
      </c>
      <c r="C294">
        <v>1.0056612386642889</v>
      </c>
      <c r="D294">
        <v>1988</v>
      </c>
      <c r="E294">
        <v>2015</v>
      </c>
      <c r="F294">
        <f>COUNTIFS($A$2:A294, A294)</f>
        <v>28</v>
      </c>
    </row>
    <row r="295" spans="1:6" x14ac:dyDescent="0.45">
      <c r="A295" t="s">
        <v>23</v>
      </c>
      <c r="B295">
        <v>1989</v>
      </c>
      <c r="C295">
        <v>0.61304163020916791</v>
      </c>
      <c r="D295">
        <v>1989</v>
      </c>
      <c r="E295">
        <v>2018</v>
      </c>
      <c r="F295">
        <f>COUNTIFS($A$2:A295, A295)</f>
        <v>1</v>
      </c>
    </row>
    <row r="296" spans="1:6" x14ac:dyDescent="0.45">
      <c r="A296" t="s">
        <v>23</v>
      </c>
      <c r="B296">
        <v>1992</v>
      </c>
      <c r="C296">
        <v>0.48584998096944121</v>
      </c>
      <c r="D296">
        <v>1989</v>
      </c>
      <c r="E296">
        <v>2018</v>
      </c>
      <c r="F296">
        <f>COUNTIFS($A$2:A296, A296)</f>
        <v>2</v>
      </c>
    </row>
    <row r="297" spans="1:6" x14ac:dyDescent="0.45">
      <c r="A297" t="s">
        <v>23</v>
      </c>
      <c r="B297">
        <v>1994</v>
      </c>
      <c r="C297">
        <v>0.50852522355736307</v>
      </c>
      <c r="D297">
        <v>1989</v>
      </c>
      <c r="E297">
        <v>2018</v>
      </c>
      <c r="F297">
        <f>COUNTIFS($A$2:A297, A297)</f>
        <v>3</v>
      </c>
    </row>
    <row r="298" spans="1:6" x14ac:dyDescent="0.45">
      <c r="A298" t="s">
        <v>23</v>
      </c>
      <c r="B298">
        <v>1995</v>
      </c>
      <c r="C298">
        <v>0.47029400558373219</v>
      </c>
      <c r="D298">
        <v>1989</v>
      </c>
      <c r="E298">
        <v>2018</v>
      </c>
      <c r="F298">
        <f>COUNTIFS($A$2:A298, A298)</f>
        <v>4</v>
      </c>
    </row>
    <row r="299" spans="1:6" x14ac:dyDescent="0.45">
      <c r="A299" t="s">
        <v>23</v>
      </c>
      <c r="B299">
        <v>1996</v>
      </c>
      <c r="C299">
        <v>0.48474738827274921</v>
      </c>
      <c r="D299">
        <v>1989</v>
      </c>
      <c r="E299">
        <v>2018</v>
      </c>
      <c r="F299">
        <f>COUNTIFS($A$2:A299, A299)</f>
        <v>5</v>
      </c>
    </row>
    <row r="300" spans="1:6" x14ac:dyDescent="0.45">
      <c r="A300" t="s">
        <v>23</v>
      </c>
      <c r="B300">
        <v>1997</v>
      </c>
      <c r="C300">
        <v>0.4771907162837688</v>
      </c>
      <c r="D300">
        <v>1989</v>
      </c>
      <c r="E300">
        <v>2018</v>
      </c>
      <c r="F300">
        <f>COUNTIFS($A$2:A300, A300)</f>
        <v>6</v>
      </c>
    </row>
    <row r="301" spans="1:6" x14ac:dyDescent="0.45">
      <c r="A301" t="s">
        <v>23</v>
      </c>
      <c r="B301">
        <v>1998</v>
      </c>
      <c r="C301">
        <v>0.47063182248760599</v>
      </c>
      <c r="D301">
        <v>1989</v>
      </c>
      <c r="E301">
        <v>2018</v>
      </c>
      <c r="F301">
        <f>COUNTIFS($A$2:A301, A301)</f>
        <v>7</v>
      </c>
    </row>
    <row r="302" spans="1:6" x14ac:dyDescent="0.45">
      <c r="A302" t="s">
        <v>23</v>
      </c>
      <c r="B302">
        <v>1999</v>
      </c>
      <c r="C302">
        <v>0.51566496547700258</v>
      </c>
      <c r="D302">
        <v>1989</v>
      </c>
      <c r="E302">
        <v>2018</v>
      </c>
      <c r="F302">
        <f>COUNTIFS($A$2:A302, A302)</f>
        <v>8</v>
      </c>
    </row>
    <row r="303" spans="1:6" x14ac:dyDescent="0.45">
      <c r="A303" t="s">
        <v>23</v>
      </c>
      <c r="B303">
        <v>2000</v>
      </c>
      <c r="C303">
        <v>0.51424305635376211</v>
      </c>
      <c r="D303">
        <v>1989</v>
      </c>
      <c r="E303">
        <v>2018</v>
      </c>
      <c r="F303">
        <f>COUNTIFS($A$2:A303, A303)</f>
        <v>9</v>
      </c>
    </row>
    <row r="304" spans="1:6" x14ac:dyDescent="0.45">
      <c r="A304" t="s">
        <v>23</v>
      </c>
      <c r="B304">
        <v>2001</v>
      </c>
      <c r="C304">
        <v>0.5159690231565961</v>
      </c>
      <c r="D304">
        <v>1989</v>
      </c>
      <c r="E304">
        <v>2018</v>
      </c>
      <c r="F304">
        <f>COUNTIFS($A$2:A304, A304)</f>
        <v>10</v>
      </c>
    </row>
    <row r="305" spans="1:6" x14ac:dyDescent="0.45">
      <c r="A305" t="s">
        <v>23</v>
      </c>
      <c r="B305">
        <v>2002</v>
      </c>
      <c r="C305">
        <v>0.55758839180508302</v>
      </c>
      <c r="D305">
        <v>1989</v>
      </c>
      <c r="E305">
        <v>2018</v>
      </c>
      <c r="F305">
        <f>COUNTIFS($A$2:A305, A305)</f>
        <v>11</v>
      </c>
    </row>
    <row r="306" spans="1:6" x14ac:dyDescent="0.45">
      <c r="A306" t="s">
        <v>23</v>
      </c>
      <c r="B306">
        <v>2003</v>
      </c>
      <c r="C306">
        <v>0.5948437090166272</v>
      </c>
      <c r="D306">
        <v>1989</v>
      </c>
      <c r="E306">
        <v>2018</v>
      </c>
      <c r="F306">
        <f>COUNTIFS($A$2:A306, A306)</f>
        <v>12</v>
      </c>
    </row>
    <row r="307" spans="1:6" x14ac:dyDescent="0.45">
      <c r="A307" t="s">
        <v>23</v>
      </c>
      <c r="B307">
        <v>2004</v>
      </c>
      <c r="C307">
        <v>0.58454989640884825</v>
      </c>
      <c r="D307">
        <v>1989</v>
      </c>
      <c r="E307">
        <v>2018</v>
      </c>
      <c r="F307">
        <f>COUNTIFS($A$2:A307, A307)</f>
        <v>13</v>
      </c>
    </row>
    <row r="308" spans="1:6" x14ac:dyDescent="0.45">
      <c r="A308" t="s">
        <v>23</v>
      </c>
      <c r="B308">
        <v>2005</v>
      </c>
      <c r="C308">
        <v>0.57193397793278289</v>
      </c>
      <c r="D308">
        <v>1989</v>
      </c>
      <c r="E308">
        <v>2018</v>
      </c>
      <c r="F308">
        <f>COUNTIFS($A$2:A308, A308)</f>
        <v>14</v>
      </c>
    </row>
    <row r="309" spans="1:6" x14ac:dyDescent="0.45">
      <c r="A309" t="s">
        <v>23</v>
      </c>
      <c r="B309">
        <v>2006</v>
      </c>
      <c r="C309">
        <v>0.58616922577575337</v>
      </c>
      <c r="D309">
        <v>1989</v>
      </c>
      <c r="E309">
        <v>2018</v>
      </c>
      <c r="F309">
        <f>COUNTIFS($A$2:A309, A309)</f>
        <v>15</v>
      </c>
    </row>
    <row r="310" spans="1:6" x14ac:dyDescent="0.45">
      <c r="A310" t="s">
        <v>23</v>
      </c>
      <c r="B310">
        <v>2007</v>
      </c>
      <c r="C310">
        <v>0.6126360869163302</v>
      </c>
      <c r="D310">
        <v>1989</v>
      </c>
      <c r="E310">
        <v>2018</v>
      </c>
      <c r="F310">
        <f>COUNTIFS($A$2:A310, A310)</f>
        <v>16</v>
      </c>
    </row>
    <row r="311" spans="1:6" x14ac:dyDescent="0.45">
      <c r="A311" t="s">
        <v>23</v>
      </c>
      <c r="B311">
        <v>2008</v>
      </c>
      <c r="C311">
        <v>0.60384753641239575</v>
      </c>
      <c r="D311">
        <v>1989</v>
      </c>
      <c r="E311">
        <v>2018</v>
      </c>
      <c r="F311">
        <f>COUNTIFS($A$2:A311, A311)</f>
        <v>17</v>
      </c>
    </row>
    <row r="312" spans="1:6" x14ac:dyDescent="0.45">
      <c r="A312" t="s">
        <v>23</v>
      </c>
      <c r="B312">
        <v>2009</v>
      </c>
      <c r="C312">
        <v>0.70071550425407847</v>
      </c>
      <c r="D312">
        <v>1989</v>
      </c>
      <c r="E312">
        <v>2018</v>
      </c>
      <c r="F312">
        <f>COUNTIFS($A$2:A312, A312)</f>
        <v>18</v>
      </c>
    </row>
    <row r="313" spans="1:6" x14ac:dyDescent="0.45">
      <c r="A313" t="s">
        <v>23</v>
      </c>
      <c r="B313">
        <v>2010</v>
      </c>
      <c r="C313">
        <v>0.71713553254074658</v>
      </c>
      <c r="D313">
        <v>1989</v>
      </c>
      <c r="E313">
        <v>2018</v>
      </c>
      <c r="F313">
        <f>COUNTIFS($A$2:A313, A313)</f>
        <v>19</v>
      </c>
    </row>
    <row r="314" spans="1:6" x14ac:dyDescent="0.45">
      <c r="A314" t="s">
        <v>23</v>
      </c>
      <c r="B314">
        <v>2011</v>
      </c>
      <c r="C314">
        <v>0.72825269607408472</v>
      </c>
      <c r="D314">
        <v>1989</v>
      </c>
      <c r="E314">
        <v>2018</v>
      </c>
      <c r="F314">
        <f>COUNTIFS($A$2:A314, A314)</f>
        <v>20</v>
      </c>
    </row>
    <row r="315" spans="1:6" x14ac:dyDescent="0.45">
      <c r="A315" t="s">
        <v>23</v>
      </c>
      <c r="B315">
        <v>2012</v>
      </c>
      <c r="C315">
        <v>0.77581751930713438</v>
      </c>
      <c r="D315">
        <v>1989</v>
      </c>
      <c r="E315">
        <v>2018</v>
      </c>
      <c r="F315">
        <f>COUNTIFS($A$2:A315, A315)</f>
        <v>21</v>
      </c>
    </row>
    <row r="316" spans="1:6" x14ac:dyDescent="0.45">
      <c r="A316" t="s">
        <v>23</v>
      </c>
      <c r="B316">
        <v>2013</v>
      </c>
      <c r="C316">
        <v>0.81968051937949193</v>
      </c>
      <c r="D316">
        <v>1989</v>
      </c>
      <c r="E316">
        <v>2018</v>
      </c>
      <c r="F316">
        <f>COUNTIFS($A$2:A316, A316)</f>
        <v>22</v>
      </c>
    </row>
    <row r="317" spans="1:6" x14ac:dyDescent="0.45">
      <c r="A317" t="s">
        <v>23</v>
      </c>
      <c r="B317">
        <v>2014</v>
      </c>
      <c r="C317">
        <v>0.86460379953700739</v>
      </c>
      <c r="D317">
        <v>1989</v>
      </c>
      <c r="E317">
        <v>2018</v>
      </c>
      <c r="F317">
        <f>COUNTIFS($A$2:A317, A317)</f>
        <v>23</v>
      </c>
    </row>
    <row r="318" spans="1:6" x14ac:dyDescent="0.45">
      <c r="A318" t="s">
        <v>23</v>
      </c>
      <c r="B318">
        <v>2015</v>
      </c>
      <c r="C318">
        <v>0.9483506070260036</v>
      </c>
      <c r="D318">
        <v>1989</v>
      </c>
      <c r="E318">
        <v>2018</v>
      </c>
      <c r="F318">
        <f>COUNTIFS($A$2:A318, A318)</f>
        <v>24</v>
      </c>
    </row>
    <row r="319" spans="1:6" x14ac:dyDescent="0.45">
      <c r="A319" t="s">
        <v>23</v>
      </c>
      <c r="B319">
        <v>2016</v>
      </c>
      <c r="C319">
        <v>0.96584289080891039</v>
      </c>
      <c r="D319">
        <v>1989</v>
      </c>
      <c r="E319">
        <v>2018</v>
      </c>
      <c r="F319">
        <f>COUNTIFS($A$2:A319, A319)</f>
        <v>25</v>
      </c>
    </row>
    <row r="320" spans="1:6" x14ac:dyDescent="0.45">
      <c r="A320" t="s">
        <v>23</v>
      </c>
      <c r="B320">
        <v>2017</v>
      </c>
      <c r="C320">
        <v>0.96776706626566533</v>
      </c>
      <c r="D320">
        <v>1989</v>
      </c>
      <c r="E320">
        <v>2018</v>
      </c>
      <c r="F320">
        <f>COUNTIFS($A$2:A320, A320)</f>
        <v>26</v>
      </c>
    </row>
    <row r="321" spans="1:6" x14ac:dyDescent="0.45">
      <c r="A321" t="s">
        <v>23</v>
      </c>
      <c r="B321">
        <v>2018</v>
      </c>
      <c r="C321">
        <v>1.0231679513083041</v>
      </c>
      <c r="D321">
        <v>1989</v>
      </c>
      <c r="E321">
        <v>2018</v>
      </c>
      <c r="F321">
        <f>COUNTIFS($A$2:A321, A321)</f>
        <v>27</v>
      </c>
    </row>
    <row r="322" spans="1:6" x14ac:dyDescent="0.45">
      <c r="A322" t="s">
        <v>24</v>
      </c>
      <c r="B322">
        <v>1983</v>
      </c>
      <c r="C322">
        <v>0.52436948789703752</v>
      </c>
      <c r="D322">
        <v>1983</v>
      </c>
      <c r="E322">
        <v>2013</v>
      </c>
      <c r="F322">
        <f>COUNTIFS($A$2:A322, A322)</f>
        <v>1</v>
      </c>
    </row>
    <row r="323" spans="1:6" x14ac:dyDescent="0.45">
      <c r="A323" t="s">
        <v>24</v>
      </c>
      <c r="B323">
        <v>1984</v>
      </c>
      <c r="C323">
        <v>0.54615397232199547</v>
      </c>
      <c r="D323">
        <v>1983</v>
      </c>
      <c r="E323">
        <v>2013</v>
      </c>
      <c r="F323">
        <f>COUNTIFS($A$2:A323, A323)</f>
        <v>2</v>
      </c>
    </row>
    <row r="324" spans="1:6" x14ac:dyDescent="0.45">
      <c r="A324" t="s">
        <v>24</v>
      </c>
      <c r="B324">
        <v>1985</v>
      </c>
      <c r="C324">
        <v>0.56183173747937487</v>
      </c>
      <c r="D324">
        <v>1983</v>
      </c>
      <c r="E324">
        <v>2013</v>
      </c>
      <c r="F324">
        <f>COUNTIFS($A$2:A324, A324)</f>
        <v>3</v>
      </c>
    </row>
    <row r="325" spans="1:6" x14ac:dyDescent="0.45">
      <c r="A325" t="s">
        <v>24</v>
      </c>
      <c r="B325">
        <v>1996</v>
      </c>
      <c r="C325">
        <v>0.60548447393484695</v>
      </c>
      <c r="D325">
        <v>1983</v>
      </c>
      <c r="E325">
        <v>2013</v>
      </c>
      <c r="F325">
        <f>COUNTIFS($A$2:A325, A325)</f>
        <v>4</v>
      </c>
    </row>
    <row r="326" spans="1:6" x14ac:dyDescent="0.45">
      <c r="A326" t="s">
        <v>24</v>
      </c>
      <c r="B326">
        <v>1997</v>
      </c>
      <c r="C326">
        <v>0.64604439776495126</v>
      </c>
      <c r="D326">
        <v>1983</v>
      </c>
      <c r="E326">
        <v>2013</v>
      </c>
      <c r="F326">
        <f>COUNTIFS($A$2:A326, A326)</f>
        <v>5</v>
      </c>
    </row>
    <row r="327" spans="1:6" x14ac:dyDescent="0.45">
      <c r="A327" t="s">
        <v>24</v>
      </c>
      <c r="B327">
        <v>1998</v>
      </c>
      <c r="C327">
        <v>0.64574587612526468</v>
      </c>
      <c r="D327">
        <v>1983</v>
      </c>
      <c r="E327">
        <v>2013</v>
      </c>
      <c r="F327">
        <f>COUNTIFS($A$2:A327, A327)</f>
        <v>6</v>
      </c>
    </row>
    <row r="328" spans="1:6" x14ac:dyDescent="0.45">
      <c r="A328" t="s">
        <v>24</v>
      </c>
      <c r="B328">
        <v>1999</v>
      </c>
      <c r="C328">
        <v>0.72639419399779459</v>
      </c>
      <c r="D328">
        <v>1983</v>
      </c>
      <c r="E328">
        <v>2013</v>
      </c>
      <c r="F328">
        <f>COUNTIFS($A$2:A328, A328)</f>
        <v>7</v>
      </c>
    </row>
    <row r="329" spans="1:6" x14ac:dyDescent="0.45">
      <c r="A329" t="s">
        <v>24</v>
      </c>
      <c r="B329">
        <v>2000</v>
      </c>
      <c r="C329">
        <v>0.73410899364888627</v>
      </c>
      <c r="D329">
        <v>1983</v>
      </c>
      <c r="E329">
        <v>2013</v>
      </c>
      <c r="F329">
        <f>COUNTIFS($A$2:A329, A329)</f>
        <v>8</v>
      </c>
    </row>
    <row r="330" spans="1:6" x14ac:dyDescent="0.45">
      <c r="A330" t="s">
        <v>24</v>
      </c>
      <c r="B330">
        <v>2001</v>
      </c>
      <c r="C330">
        <v>0.69402692235437524</v>
      </c>
      <c r="D330">
        <v>1983</v>
      </c>
      <c r="E330">
        <v>2013</v>
      </c>
      <c r="F330">
        <f>COUNTIFS($A$2:A330, A330)</f>
        <v>9</v>
      </c>
    </row>
    <row r="331" spans="1:6" x14ac:dyDescent="0.45">
      <c r="A331" t="s">
        <v>24</v>
      </c>
      <c r="B331">
        <v>2002</v>
      </c>
      <c r="C331">
        <v>0.7373678468555015</v>
      </c>
      <c r="D331">
        <v>1983</v>
      </c>
      <c r="E331">
        <v>2013</v>
      </c>
      <c r="F331">
        <f>COUNTIFS($A$2:A331, A331)</f>
        <v>10</v>
      </c>
    </row>
    <row r="332" spans="1:6" x14ac:dyDescent="0.45">
      <c r="A332" t="s">
        <v>24</v>
      </c>
      <c r="B332">
        <v>2003</v>
      </c>
      <c r="C332">
        <v>0.777284715491526</v>
      </c>
      <c r="D332">
        <v>1983</v>
      </c>
      <c r="E332">
        <v>2013</v>
      </c>
      <c r="F332">
        <f>COUNTIFS($A$2:A332, A332)</f>
        <v>11</v>
      </c>
    </row>
    <row r="333" spans="1:6" x14ac:dyDescent="0.45">
      <c r="A333" t="s">
        <v>24</v>
      </c>
      <c r="B333">
        <v>2004</v>
      </c>
      <c r="C333">
        <v>0.75408788728602372</v>
      </c>
      <c r="D333">
        <v>1983</v>
      </c>
      <c r="E333">
        <v>2013</v>
      </c>
      <c r="F333">
        <f>COUNTIFS($A$2:A333, A333)</f>
        <v>12</v>
      </c>
    </row>
    <row r="334" spans="1:6" x14ac:dyDescent="0.45">
      <c r="A334" t="s">
        <v>24</v>
      </c>
      <c r="B334">
        <v>2005</v>
      </c>
      <c r="C334">
        <v>0.72080675091327195</v>
      </c>
      <c r="D334">
        <v>1983</v>
      </c>
      <c r="E334">
        <v>2013</v>
      </c>
      <c r="F334">
        <f>COUNTIFS($A$2:A334, A334)</f>
        <v>13</v>
      </c>
    </row>
    <row r="335" spans="1:6" x14ac:dyDescent="0.45">
      <c r="A335" t="s">
        <v>24</v>
      </c>
      <c r="B335">
        <v>2006</v>
      </c>
      <c r="C335">
        <v>0.72433588163466001</v>
      </c>
      <c r="D335">
        <v>1983</v>
      </c>
      <c r="E335">
        <v>2013</v>
      </c>
      <c r="F335">
        <f>COUNTIFS($A$2:A335, A335)</f>
        <v>14</v>
      </c>
    </row>
    <row r="336" spans="1:6" x14ac:dyDescent="0.45">
      <c r="A336" t="s">
        <v>24</v>
      </c>
      <c r="B336">
        <v>2007</v>
      </c>
      <c r="C336">
        <v>0.75202596382151876</v>
      </c>
      <c r="D336">
        <v>1983</v>
      </c>
      <c r="E336">
        <v>2013</v>
      </c>
      <c r="F336">
        <f>COUNTIFS($A$2:A336, A336)</f>
        <v>15</v>
      </c>
    </row>
    <row r="337" spans="1:6" x14ac:dyDescent="0.45">
      <c r="A337" t="s">
        <v>24</v>
      </c>
      <c r="B337">
        <v>2008</v>
      </c>
      <c r="C337">
        <v>0.75534092020949084</v>
      </c>
      <c r="D337">
        <v>1983</v>
      </c>
      <c r="E337">
        <v>2013</v>
      </c>
      <c r="F337">
        <f>COUNTIFS($A$2:A337, A337)</f>
        <v>16</v>
      </c>
    </row>
    <row r="338" spans="1:6" x14ac:dyDescent="0.45">
      <c r="A338" t="s">
        <v>24</v>
      </c>
      <c r="B338">
        <v>2009</v>
      </c>
      <c r="C338">
        <v>0.90795982418768095</v>
      </c>
      <c r="D338">
        <v>1983</v>
      </c>
      <c r="E338">
        <v>2013</v>
      </c>
      <c r="F338">
        <f>COUNTIFS($A$2:A338, A338)</f>
        <v>17</v>
      </c>
    </row>
    <row r="339" spans="1:6" x14ac:dyDescent="0.45">
      <c r="A339" t="s">
        <v>24</v>
      </c>
      <c r="B339">
        <v>2010</v>
      </c>
      <c r="C339">
        <v>0.90697799581429839</v>
      </c>
      <c r="D339">
        <v>1983</v>
      </c>
      <c r="E339">
        <v>2013</v>
      </c>
      <c r="F339">
        <f>COUNTIFS($A$2:A339, A339)</f>
        <v>18</v>
      </c>
    </row>
    <row r="340" spans="1:6" x14ac:dyDescent="0.45">
      <c r="A340" t="s">
        <v>24</v>
      </c>
      <c r="B340">
        <v>2011</v>
      </c>
      <c r="C340">
        <v>0.8981770898801783</v>
      </c>
      <c r="D340">
        <v>1983</v>
      </c>
      <c r="E340">
        <v>2013</v>
      </c>
      <c r="F340">
        <f>COUNTIFS($A$2:A340, A340)</f>
        <v>19</v>
      </c>
    </row>
    <row r="341" spans="1:6" x14ac:dyDescent="0.45">
      <c r="A341" t="s">
        <v>24</v>
      </c>
      <c r="B341">
        <v>2012</v>
      </c>
      <c r="C341">
        <v>0.95244217072890858</v>
      </c>
      <c r="D341">
        <v>1983</v>
      </c>
      <c r="E341">
        <v>2013</v>
      </c>
      <c r="F341">
        <f>COUNTIFS($A$2:A341, A341)</f>
        <v>20</v>
      </c>
    </row>
    <row r="342" spans="1:6" x14ac:dyDescent="0.45">
      <c r="A342" t="s">
        <v>24</v>
      </c>
      <c r="B342">
        <v>2013</v>
      </c>
      <c r="C342">
        <v>1.00370353273152</v>
      </c>
      <c r="D342">
        <v>1983</v>
      </c>
      <c r="E342">
        <v>2013</v>
      </c>
      <c r="F342">
        <f>COUNTIFS($A$2:A342, A342)</f>
        <v>21</v>
      </c>
    </row>
    <row r="343" spans="1:6" x14ac:dyDescent="0.45">
      <c r="A343" t="s">
        <v>25</v>
      </c>
      <c r="B343">
        <v>1984</v>
      </c>
      <c r="C343">
        <v>0.52428203415704611</v>
      </c>
      <c r="D343">
        <v>1984</v>
      </c>
      <c r="E343">
        <v>2015</v>
      </c>
      <c r="F343">
        <f>COUNTIFS($A$2:A343, A343)</f>
        <v>1</v>
      </c>
    </row>
    <row r="344" spans="1:6" x14ac:dyDescent="0.45">
      <c r="A344" t="s">
        <v>25</v>
      </c>
      <c r="B344">
        <v>1985</v>
      </c>
      <c r="C344">
        <v>0.63188618632400184</v>
      </c>
      <c r="D344">
        <v>1984</v>
      </c>
      <c r="E344">
        <v>2015</v>
      </c>
      <c r="F344">
        <f>COUNTIFS($A$2:A344, A344)</f>
        <v>2</v>
      </c>
    </row>
    <row r="345" spans="1:6" x14ac:dyDescent="0.45">
      <c r="A345" t="s">
        <v>25</v>
      </c>
      <c r="B345">
        <v>1986</v>
      </c>
      <c r="C345">
        <v>0.61091471857945756</v>
      </c>
      <c r="D345">
        <v>1984</v>
      </c>
      <c r="E345">
        <v>2015</v>
      </c>
      <c r="F345">
        <f>COUNTIFS($A$2:A345, A345)</f>
        <v>3</v>
      </c>
    </row>
    <row r="346" spans="1:6" x14ac:dyDescent="0.45">
      <c r="A346" t="s">
        <v>25</v>
      </c>
      <c r="B346">
        <v>1987</v>
      </c>
      <c r="C346">
        <v>0.56016835660991005</v>
      </c>
      <c r="D346">
        <v>1984</v>
      </c>
      <c r="E346">
        <v>2015</v>
      </c>
      <c r="F346">
        <f>COUNTIFS($A$2:A346, A346)</f>
        <v>4</v>
      </c>
    </row>
    <row r="347" spans="1:6" x14ac:dyDescent="0.45">
      <c r="A347" t="s">
        <v>25</v>
      </c>
      <c r="B347">
        <v>1988</v>
      </c>
      <c r="C347">
        <v>0.59636472314296585</v>
      </c>
      <c r="D347">
        <v>1984</v>
      </c>
      <c r="E347">
        <v>2015</v>
      </c>
      <c r="F347">
        <f>COUNTIFS($A$2:A347, A347)</f>
        <v>5</v>
      </c>
    </row>
    <row r="348" spans="1:6" x14ac:dyDescent="0.45">
      <c r="A348" t="s">
        <v>25</v>
      </c>
      <c r="B348">
        <v>1989</v>
      </c>
      <c r="C348">
        <v>0.63597552560150894</v>
      </c>
      <c r="D348">
        <v>1984</v>
      </c>
      <c r="E348">
        <v>2015</v>
      </c>
      <c r="F348">
        <f>COUNTIFS($A$2:A348, A348)</f>
        <v>6</v>
      </c>
    </row>
    <row r="349" spans="1:6" x14ac:dyDescent="0.45">
      <c r="A349" t="s">
        <v>25</v>
      </c>
      <c r="B349">
        <v>1990</v>
      </c>
      <c r="C349">
        <v>0.62642857142857145</v>
      </c>
      <c r="D349">
        <v>1984</v>
      </c>
      <c r="E349">
        <v>2015</v>
      </c>
      <c r="F349">
        <f>COUNTIFS($A$2:A349, A349)</f>
        <v>7</v>
      </c>
    </row>
    <row r="350" spans="1:6" x14ac:dyDescent="0.45">
      <c r="A350" t="s">
        <v>25</v>
      </c>
      <c r="B350">
        <v>1991</v>
      </c>
      <c r="C350">
        <v>0.65594266374676491</v>
      </c>
      <c r="D350">
        <v>1984</v>
      </c>
      <c r="E350">
        <v>2015</v>
      </c>
      <c r="F350">
        <f>COUNTIFS($A$2:A350, A350)</f>
        <v>8</v>
      </c>
    </row>
    <row r="351" spans="1:6" x14ac:dyDescent="0.45">
      <c r="A351" t="s">
        <v>25</v>
      </c>
      <c r="B351">
        <v>1992</v>
      </c>
      <c r="C351">
        <v>0.66061665688251348</v>
      </c>
      <c r="D351">
        <v>1984</v>
      </c>
      <c r="E351">
        <v>2015</v>
      </c>
      <c r="F351">
        <f>COUNTIFS($A$2:A351, A351)</f>
        <v>9</v>
      </c>
    </row>
    <row r="352" spans="1:6" x14ac:dyDescent="0.45">
      <c r="A352" t="s">
        <v>25</v>
      </c>
      <c r="B352">
        <v>1993</v>
      </c>
      <c r="C352">
        <v>0.79743691987328591</v>
      </c>
      <c r="D352">
        <v>1984</v>
      </c>
      <c r="E352">
        <v>2015</v>
      </c>
      <c r="F352">
        <f>COUNTIFS($A$2:A352, A352)</f>
        <v>10</v>
      </c>
    </row>
    <row r="353" spans="1:6" x14ac:dyDescent="0.45">
      <c r="A353" t="s">
        <v>25</v>
      </c>
      <c r="B353">
        <v>1994</v>
      </c>
      <c r="C353">
        <v>0.79036804076514278</v>
      </c>
      <c r="D353">
        <v>1984</v>
      </c>
      <c r="E353">
        <v>2015</v>
      </c>
      <c r="F353">
        <f>COUNTIFS($A$2:A353, A353)</f>
        <v>11</v>
      </c>
    </row>
    <row r="354" spans="1:6" x14ac:dyDescent="0.45">
      <c r="A354" t="s">
        <v>25</v>
      </c>
      <c r="B354">
        <v>1995</v>
      </c>
      <c r="C354">
        <v>0.7426614655694489</v>
      </c>
      <c r="D354">
        <v>1984</v>
      </c>
      <c r="E354">
        <v>2015</v>
      </c>
      <c r="F354">
        <f>COUNTIFS($A$2:A354, A354)</f>
        <v>12</v>
      </c>
    </row>
    <row r="355" spans="1:6" x14ac:dyDescent="0.45">
      <c r="A355" t="s">
        <v>25</v>
      </c>
      <c r="B355">
        <v>1996</v>
      </c>
      <c r="C355">
        <v>0.77819463392451116</v>
      </c>
      <c r="D355">
        <v>1984</v>
      </c>
      <c r="E355">
        <v>2015</v>
      </c>
      <c r="F355">
        <f>COUNTIFS($A$2:A355, A355)</f>
        <v>13</v>
      </c>
    </row>
    <row r="356" spans="1:6" x14ac:dyDescent="0.45">
      <c r="A356" t="s">
        <v>25</v>
      </c>
      <c r="B356">
        <v>1997</v>
      </c>
      <c r="C356">
        <v>0.84350684080674942</v>
      </c>
      <c r="D356">
        <v>1984</v>
      </c>
      <c r="E356">
        <v>2015</v>
      </c>
      <c r="F356">
        <f>COUNTIFS($A$2:A356, A356)</f>
        <v>14</v>
      </c>
    </row>
    <row r="357" spans="1:6" x14ac:dyDescent="0.45">
      <c r="A357" t="s">
        <v>25</v>
      </c>
      <c r="B357">
        <v>1998</v>
      </c>
      <c r="C357">
        <v>0.78936586085449278</v>
      </c>
      <c r="D357">
        <v>1984</v>
      </c>
      <c r="E357">
        <v>2015</v>
      </c>
      <c r="F357">
        <f>COUNTIFS($A$2:A357, A357)</f>
        <v>15</v>
      </c>
    </row>
    <row r="358" spans="1:6" x14ac:dyDescent="0.45">
      <c r="A358" t="s">
        <v>25</v>
      </c>
      <c r="B358">
        <v>1999</v>
      </c>
      <c r="C358">
        <v>0.80481805672349216</v>
      </c>
      <c r="D358">
        <v>1984</v>
      </c>
      <c r="E358">
        <v>2015</v>
      </c>
      <c r="F358">
        <f>COUNTIFS($A$2:A358, A358)</f>
        <v>16</v>
      </c>
    </row>
    <row r="359" spans="1:6" x14ac:dyDescent="0.45">
      <c r="A359" t="s">
        <v>25</v>
      </c>
      <c r="B359">
        <v>2000</v>
      </c>
      <c r="C359">
        <v>0.71969393198079734</v>
      </c>
      <c r="D359">
        <v>1984</v>
      </c>
      <c r="E359">
        <v>2015</v>
      </c>
      <c r="F359">
        <f>COUNTIFS($A$2:A359, A359)</f>
        <v>17</v>
      </c>
    </row>
    <row r="360" spans="1:6" x14ac:dyDescent="0.45">
      <c r="A360" t="s">
        <v>25</v>
      </c>
      <c r="B360">
        <v>2001</v>
      </c>
      <c r="C360">
        <v>0.63403788648570181</v>
      </c>
      <c r="D360">
        <v>1984</v>
      </c>
      <c r="E360">
        <v>2015</v>
      </c>
      <c r="F360">
        <f>COUNTIFS($A$2:A360, A360)</f>
        <v>18</v>
      </c>
    </row>
    <row r="361" spans="1:6" x14ac:dyDescent="0.45">
      <c r="A361" t="s">
        <v>25</v>
      </c>
      <c r="B361">
        <v>2002</v>
      </c>
      <c r="C361">
        <v>0.54579375211077341</v>
      </c>
      <c r="D361">
        <v>1984</v>
      </c>
      <c r="E361">
        <v>2015</v>
      </c>
      <c r="F361">
        <f>COUNTIFS($A$2:A361, A361)</f>
        <v>19</v>
      </c>
    </row>
    <row r="362" spans="1:6" x14ac:dyDescent="0.45">
      <c r="A362" t="s">
        <v>25</v>
      </c>
      <c r="B362">
        <v>2003</v>
      </c>
      <c r="C362">
        <v>0.48219402240464421</v>
      </c>
      <c r="D362">
        <v>1984</v>
      </c>
      <c r="E362">
        <v>2015</v>
      </c>
      <c r="F362">
        <f>COUNTIFS($A$2:A362, A362)</f>
        <v>20</v>
      </c>
    </row>
    <row r="363" spans="1:6" x14ac:dyDescent="0.45">
      <c r="A363" t="s">
        <v>25</v>
      </c>
      <c r="B363">
        <v>2004</v>
      </c>
      <c r="C363">
        <v>0.40720756131268893</v>
      </c>
      <c r="D363">
        <v>1984</v>
      </c>
      <c r="E363">
        <v>2015</v>
      </c>
      <c r="F363">
        <f>COUNTIFS($A$2:A363, A363)</f>
        <v>21</v>
      </c>
    </row>
    <row r="364" spans="1:6" x14ac:dyDescent="0.45">
      <c r="A364" t="s">
        <v>25</v>
      </c>
      <c r="B364">
        <v>2005</v>
      </c>
      <c r="C364">
        <v>0.43901689678180977</v>
      </c>
      <c r="D364">
        <v>1984</v>
      </c>
      <c r="E364">
        <v>2015</v>
      </c>
      <c r="F364">
        <f>COUNTIFS($A$2:A364, A364)</f>
        <v>22</v>
      </c>
    </row>
    <row r="365" spans="1:6" x14ac:dyDescent="0.45">
      <c r="A365" t="s">
        <v>25</v>
      </c>
      <c r="B365">
        <v>2006</v>
      </c>
      <c r="C365">
        <v>0.40915157040348188</v>
      </c>
      <c r="D365">
        <v>1984</v>
      </c>
      <c r="E365">
        <v>2015</v>
      </c>
      <c r="F365">
        <f>COUNTIFS($A$2:A365, A365)</f>
        <v>23</v>
      </c>
    </row>
    <row r="366" spans="1:6" x14ac:dyDescent="0.45">
      <c r="A366" t="s">
        <v>25</v>
      </c>
      <c r="B366">
        <v>2007</v>
      </c>
      <c r="C366">
        <v>0.47311519020657172</v>
      </c>
      <c r="D366">
        <v>1984</v>
      </c>
      <c r="E366">
        <v>2015</v>
      </c>
      <c r="F366">
        <f>COUNTIFS($A$2:A366, A366)</f>
        <v>24</v>
      </c>
    </row>
    <row r="367" spans="1:6" x14ac:dyDescent="0.45">
      <c r="A367" t="s">
        <v>25</v>
      </c>
      <c r="B367">
        <v>2008</v>
      </c>
      <c r="C367">
        <v>0.53282047450471126</v>
      </c>
      <c r="D367">
        <v>1984</v>
      </c>
      <c r="E367">
        <v>2015</v>
      </c>
      <c r="F367">
        <f>COUNTIFS($A$2:A367, A367)</f>
        <v>25</v>
      </c>
    </row>
    <row r="368" spans="1:6" x14ac:dyDescent="0.45">
      <c r="A368" t="s">
        <v>25</v>
      </c>
      <c r="B368">
        <v>2009</v>
      </c>
      <c r="C368">
        <v>0.57455805008788874</v>
      </c>
      <c r="D368">
        <v>1984</v>
      </c>
      <c r="E368">
        <v>2015</v>
      </c>
      <c r="F368">
        <f>COUNTIFS($A$2:A368, A368)</f>
        <v>26</v>
      </c>
    </row>
    <row r="369" spans="1:6" x14ac:dyDescent="0.45">
      <c r="A369" t="s">
        <v>25</v>
      </c>
      <c r="B369">
        <v>2010</v>
      </c>
      <c r="C369">
        <v>0.56866026741469633</v>
      </c>
      <c r="D369">
        <v>1984</v>
      </c>
      <c r="E369">
        <v>2015</v>
      </c>
      <c r="F369">
        <f>COUNTIFS($A$2:A369, A369)</f>
        <v>27</v>
      </c>
    </row>
    <row r="370" spans="1:6" x14ac:dyDescent="0.45">
      <c r="A370" t="s">
        <v>25</v>
      </c>
      <c r="B370">
        <v>2011</v>
      </c>
      <c r="C370">
        <v>0.56125321699575581</v>
      </c>
      <c r="D370">
        <v>1984</v>
      </c>
      <c r="E370">
        <v>2015</v>
      </c>
      <c r="F370">
        <f>COUNTIFS($A$2:A370, A370)</f>
        <v>28</v>
      </c>
    </row>
    <row r="371" spans="1:6" x14ac:dyDescent="0.45">
      <c r="A371" t="s">
        <v>25</v>
      </c>
      <c r="B371">
        <v>2012</v>
      </c>
      <c r="C371">
        <v>0.57570931792564084</v>
      </c>
      <c r="D371">
        <v>1984</v>
      </c>
      <c r="E371">
        <v>2015</v>
      </c>
      <c r="F371">
        <f>COUNTIFS($A$2:A371, A371)</f>
        <v>29</v>
      </c>
    </row>
    <row r="372" spans="1:6" x14ac:dyDescent="0.45">
      <c r="A372" t="s">
        <v>25</v>
      </c>
      <c r="B372">
        <v>2013</v>
      </c>
      <c r="C372">
        <v>0.62515084761809969</v>
      </c>
      <c r="D372">
        <v>1984</v>
      </c>
      <c r="E372">
        <v>2015</v>
      </c>
      <c r="F372">
        <f>COUNTIFS($A$2:A372, A372)</f>
        <v>30</v>
      </c>
    </row>
    <row r="373" spans="1:6" x14ac:dyDescent="0.45">
      <c r="A373" t="s">
        <v>25</v>
      </c>
      <c r="B373">
        <v>2014</v>
      </c>
      <c r="C373">
        <v>0.77347359124031034</v>
      </c>
      <c r="D373">
        <v>1984</v>
      </c>
      <c r="E373">
        <v>2015</v>
      </c>
      <c r="F373">
        <f>COUNTIFS($A$2:A373, A373)</f>
        <v>31</v>
      </c>
    </row>
    <row r="374" spans="1:6" x14ac:dyDescent="0.45">
      <c r="A374" t="s">
        <v>25</v>
      </c>
      <c r="B374">
        <v>2015</v>
      </c>
      <c r="C374">
        <v>1.085117040872345</v>
      </c>
      <c r="D374">
        <v>1984</v>
      </c>
      <c r="E374">
        <v>2015</v>
      </c>
      <c r="F374">
        <f>COUNTIFS($A$2:A374, A374)</f>
        <v>32</v>
      </c>
    </row>
    <row r="375" spans="1:6" x14ac:dyDescent="0.45">
      <c r="A375" t="s">
        <v>26</v>
      </c>
      <c r="B375">
        <v>1988</v>
      </c>
      <c r="C375">
        <v>0.51409686953438372</v>
      </c>
      <c r="D375">
        <v>1988</v>
      </c>
      <c r="E375">
        <v>2018</v>
      </c>
      <c r="F375">
        <f>COUNTIFS($A$2:A375, A375)</f>
        <v>1</v>
      </c>
    </row>
    <row r="376" spans="1:6" x14ac:dyDescent="0.45">
      <c r="A376" t="s">
        <v>26</v>
      </c>
      <c r="B376">
        <v>1989</v>
      </c>
      <c r="C376">
        <v>0.6323991334734389</v>
      </c>
      <c r="D376">
        <v>1988</v>
      </c>
      <c r="E376">
        <v>2018</v>
      </c>
      <c r="F376">
        <f>COUNTIFS($A$2:A376, A376)</f>
        <v>2</v>
      </c>
    </row>
    <row r="377" spans="1:6" x14ac:dyDescent="0.45">
      <c r="A377" t="s">
        <v>26</v>
      </c>
      <c r="B377">
        <v>1992</v>
      </c>
      <c r="C377">
        <v>0.50057895560290788</v>
      </c>
      <c r="D377">
        <v>1988</v>
      </c>
      <c r="E377">
        <v>2018</v>
      </c>
      <c r="F377">
        <f>COUNTIFS($A$2:A377, A377)</f>
        <v>3</v>
      </c>
    </row>
    <row r="378" spans="1:6" x14ac:dyDescent="0.45">
      <c r="A378" t="s">
        <v>26</v>
      </c>
      <c r="B378">
        <v>1994</v>
      </c>
      <c r="C378">
        <v>0.52215794301262175</v>
      </c>
      <c r="D378">
        <v>1988</v>
      </c>
      <c r="E378">
        <v>2018</v>
      </c>
      <c r="F378">
        <f>COUNTIFS($A$2:A378, A378)</f>
        <v>4</v>
      </c>
    </row>
    <row r="379" spans="1:6" x14ac:dyDescent="0.45">
      <c r="A379" t="s">
        <v>26</v>
      </c>
      <c r="B379">
        <v>1995</v>
      </c>
      <c r="C379">
        <v>0.47911084926459568</v>
      </c>
      <c r="D379">
        <v>1988</v>
      </c>
      <c r="E379">
        <v>2018</v>
      </c>
      <c r="F379">
        <f>COUNTIFS($A$2:A379, A379)</f>
        <v>5</v>
      </c>
    </row>
    <row r="380" spans="1:6" x14ac:dyDescent="0.45">
      <c r="A380" t="s">
        <v>26</v>
      </c>
      <c r="B380">
        <v>1996</v>
      </c>
      <c r="C380">
        <v>0.49160776571045189</v>
      </c>
      <c r="D380">
        <v>1988</v>
      </c>
      <c r="E380">
        <v>2018</v>
      </c>
      <c r="F380">
        <f>COUNTIFS($A$2:A380, A380)</f>
        <v>6</v>
      </c>
    </row>
    <row r="381" spans="1:6" x14ac:dyDescent="0.45">
      <c r="A381" t="s">
        <v>26</v>
      </c>
      <c r="B381">
        <v>1997</v>
      </c>
      <c r="C381">
        <v>0.48312986862666413</v>
      </c>
      <c r="D381">
        <v>1988</v>
      </c>
      <c r="E381">
        <v>2018</v>
      </c>
      <c r="F381">
        <f>COUNTIFS($A$2:A381, A381)</f>
        <v>7</v>
      </c>
    </row>
    <row r="382" spans="1:6" x14ac:dyDescent="0.45">
      <c r="A382" t="s">
        <v>26</v>
      </c>
      <c r="B382">
        <v>1998</v>
      </c>
      <c r="C382">
        <v>0.47639723059300948</v>
      </c>
      <c r="D382">
        <v>1988</v>
      </c>
      <c r="E382">
        <v>2018</v>
      </c>
      <c r="F382">
        <f>COUNTIFS($A$2:A382, A382)</f>
        <v>8</v>
      </c>
    </row>
    <row r="383" spans="1:6" x14ac:dyDescent="0.45">
      <c r="A383" t="s">
        <v>26</v>
      </c>
      <c r="B383">
        <v>1999</v>
      </c>
      <c r="C383">
        <v>0.52275602602408322</v>
      </c>
      <c r="D383">
        <v>1988</v>
      </c>
      <c r="E383">
        <v>2018</v>
      </c>
      <c r="F383">
        <f>COUNTIFS($A$2:A383, A383)</f>
        <v>9</v>
      </c>
    </row>
    <row r="384" spans="1:6" x14ac:dyDescent="0.45">
      <c r="A384" t="s">
        <v>26</v>
      </c>
      <c r="B384">
        <v>2000</v>
      </c>
      <c r="C384">
        <v>0.52331731609077659</v>
      </c>
      <c r="D384">
        <v>1988</v>
      </c>
      <c r="E384">
        <v>2018</v>
      </c>
      <c r="F384">
        <f>COUNTIFS($A$2:A384, A384)</f>
        <v>10</v>
      </c>
    </row>
    <row r="385" spans="1:6" x14ac:dyDescent="0.45">
      <c r="A385" t="s">
        <v>26</v>
      </c>
      <c r="B385">
        <v>2001</v>
      </c>
      <c r="C385">
        <v>0.52437273926450745</v>
      </c>
      <c r="D385">
        <v>1988</v>
      </c>
      <c r="E385">
        <v>2018</v>
      </c>
      <c r="F385">
        <f>COUNTIFS($A$2:A385, A385)</f>
        <v>11</v>
      </c>
    </row>
    <row r="386" spans="1:6" x14ac:dyDescent="0.45">
      <c r="A386" t="s">
        <v>26</v>
      </c>
      <c r="B386">
        <v>2002</v>
      </c>
      <c r="C386">
        <v>0.56775773442700628</v>
      </c>
      <c r="D386">
        <v>1988</v>
      </c>
      <c r="E386">
        <v>2018</v>
      </c>
      <c r="F386">
        <f>COUNTIFS($A$2:A386, A386)</f>
        <v>12</v>
      </c>
    </row>
    <row r="387" spans="1:6" x14ac:dyDescent="0.45">
      <c r="A387" t="s">
        <v>26</v>
      </c>
      <c r="B387">
        <v>2003</v>
      </c>
      <c r="C387">
        <v>0.60565089119022286</v>
      </c>
      <c r="D387">
        <v>1988</v>
      </c>
      <c r="E387">
        <v>2018</v>
      </c>
      <c r="F387">
        <f>COUNTIFS($A$2:A387, A387)</f>
        <v>13</v>
      </c>
    </row>
    <row r="388" spans="1:6" x14ac:dyDescent="0.45">
      <c r="A388" t="s">
        <v>26</v>
      </c>
      <c r="B388">
        <v>2004</v>
      </c>
      <c r="C388">
        <v>0.59486949244209297</v>
      </c>
      <c r="D388">
        <v>1988</v>
      </c>
      <c r="E388">
        <v>2018</v>
      </c>
      <c r="F388">
        <f>COUNTIFS($A$2:A388, A388)</f>
        <v>14</v>
      </c>
    </row>
    <row r="389" spans="1:6" x14ac:dyDescent="0.45">
      <c r="A389" t="s">
        <v>26</v>
      </c>
      <c r="B389">
        <v>2005</v>
      </c>
      <c r="C389">
        <v>0.582139101698536</v>
      </c>
      <c r="D389">
        <v>1988</v>
      </c>
      <c r="E389">
        <v>2018</v>
      </c>
      <c r="F389">
        <f>COUNTIFS($A$2:A389, A389)</f>
        <v>15</v>
      </c>
    </row>
    <row r="390" spans="1:6" x14ac:dyDescent="0.45">
      <c r="A390" t="s">
        <v>26</v>
      </c>
      <c r="B390">
        <v>2006</v>
      </c>
      <c r="C390">
        <v>0.59683555573894653</v>
      </c>
      <c r="D390">
        <v>1988</v>
      </c>
      <c r="E390">
        <v>2018</v>
      </c>
      <c r="F390">
        <f>COUNTIFS($A$2:A390, A390)</f>
        <v>16</v>
      </c>
    </row>
    <row r="391" spans="1:6" x14ac:dyDescent="0.45">
      <c r="A391" t="s">
        <v>26</v>
      </c>
      <c r="B391">
        <v>2007</v>
      </c>
      <c r="C391">
        <v>0.62338695614680661</v>
      </c>
      <c r="D391">
        <v>1988</v>
      </c>
      <c r="E391">
        <v>2018</v>
      </c>
      <c r="F391">
        <f>COUNTIFS($A$2:A391, A391)</f>
        <v>17</v>
      </c>
    </row>
    <row r="392" spans="1:6" x14ac:dyDescent="0.45">
      <c r="A392" t="s">
        <v>26</v>
      </c>
      <c r="B392">
        <v>2008</v>
      </c>
      <c r="C392">
        <v>0.61355647683085457</v>
      </c>
      <c r="D392">
        <v>1988</v>
      </c>
      <c r="E392">
        <v>2018</v>
      </c>
      <c r="F392">
        <f>COUNTIFS($A$2:A392, A392)</f>
        <v>18</v>
      </c>
    </row>
    <row r="393" spans="1:6" x14ac:dyDescent="0.45">
      <c r="A393" t="s">
        <v>26</v>
      </c>
      <c r="B393">
        <v>2009</v>
      </c>
      <c r="C393">
        <v>0.71087541822623013</v>
      </c>
      <c r="D393">
        <v>1988</v>
      </c>
      <c r="E393">
        <v>2018</v>
      </c>
      <c r="F393">
        <f>COUNTIFS($A$2:A393, A393)</f>
        <v>19</v>
      </c>
    </row>
    <row r="394" spans="1:6" x14ac:dyDescent="0.45">
      <c r="A394" t="s">
        <v>26</v>
      </c>
      <c r="B394">
        <v>2010</v>
      </c>
      <c r="C394">
        <v>0.72676913860466064</v>
      </c>
      <c r="D394">
        <v>1988</v>
      </c>
      <c r="E394">
        <v>2018</v>
      </c>
      <c r="F394">
        <f>COUNTIFS($A$2:A394, A394)</f>
        <v>20</v>
      </c>
    </row>
    <row r="395" spans="1:6" x14ac:dyDescent="0.45">
      <c r="A395" t="s">
        <v>26</v>
      </c>
      <c r="B395">
        <v>2011</v>
      </c>
      <c r="C395">
        <v>0.73873602743830924</v>
      </c>
      <c r="D395">
        <v>1988</v>
      </c>
      <c r="E395">
        <v>2018</v>
      </c>
      <c r="F395">
        <f>COUNTIFS($A$2:A395, A395)</f>
        <v>21</v>
      </c>
    </row>
    <row r="396" spans="1:6" x14ac:dyDescent="0.45">
      <c r="A396" t="s">
        <v>26</v>
      </c>
      <c r="B396">
        <v>2012</v>
      </c>
      <c r="C396">
        <v>0.78437293201907987</v>
      </c>
      <c r="D396">
        <v>1988</v>
      </c>
      <c r="E396">
        <v>2018</v>
      </c>
      <c r="F396">
        <f>COUNTIFS($A$2:A396, A396)</f>
        <v>22</v>
      </c>
    </row>
    <row r="397" spans="1:6" x14ac:dyDescent="0.45">
      <c r="A397" t="s">
        <v>26</v>
      </c>
      <c r="B397">
        <v>2013</v>
      </c>
      <c r="C397">
        <v>0.8290334166505402</v>
      </c>
      <c r="D397">
        <v>1988</v>
      </c>
      <c r="E397">
        <v>2018</v>
      </c>
      <c r="F397">
        <f>COUNTIFS($A$2:A397, A397)</f>
        <v>23</v>
      </c>
    </row>
    <row r="398" spans="1:6" x14ac:dyDescent="0.45">
      <c r="A398" t="s">
        <v>26</v>
      </c>
      <c r="B398">
        <v>2014</v>
      </c>
      <c r="C398">
        <v>0.87317407511624734</v>
      </c>
      <c r="D398">
        <v>1988</v>
      </c>
      <c r="E398">
        <v>2018</v>
      </c>
      <c r="F398">
        <f>COUNTIFS($A$2:A398, A398)</f>
        <v>24</v>
      </c>
    </row>
    <row r="399" spans="1:6" x14ac:dyDescent="0.45">
      <c r="A399" t="s">
        <v>26</v>
      </c>
      <c r="B399">
        <v>2015</v>
      </c>
      <c r="C399">
        <v>0.95746460094217301</v>
      </c>
      <c r="D399">
        <v>1988</v>
      </c>
      <c r="E399">
        <v>2018</v>
      </c>
      <c r="F399">
        <f>COUNTIFS($A$2:A399, A399)</f>
        <v>25</v>
      </c>
    </row>
    <row r="400" spans="1:6" x14ac:dyDescent="0.45">
      <c r="A400" t="s">
        <v>26</v>
      </c>
      <c r="B400">
        <v>2016</v>
      </c>
      <c r="C400">
        <v>0.97404489181664333</v>
      </c>
      <c r="D400">
        <v>1988</v>
      </c>
      <c r="E400">
        <v>2018</v>
      </c>
      <c r="F400">
        <f>COUNTIFS($A$2:A400, A400)</f>
        <v>26</v>
      </c>
    </row>
    <row r="401" spans="1:6" x14ac:dyDescent="0.45">
      <c r="A401" t="s">
        <v>26</v>
      </c>
      <c r="B401">
        <v>2017</v>
      </c>
      <c r="C401">
        <v>0.97574842720119037</v>
      </c>
      <c r="D401">
        <v>1988</v>
      </c>
      <c r="E401">
        <v>2018</v>
      </c>
      <c r="F401">
        <f>COUNTIFS($A$2:A401, A401)</f>
        <v>27</v>
      </c>
    </row>
    <row r="402" spans="1:6" x14ac:dyDescent="0.45">
      <c r="A402" t="s">
        <v>26</v>
      </c>
      <c r="B402">
        <v>2018</v>
      </c>
      <c r="C402">
        <v>1.0320185889313731</v>
      </c>
      <c r="D402">
        <v>1988</v>
      </c>
      <c r="E402">
        <v>2018</v>
      </c>
      <c r="F402">
        <f>COUNTIFS($A$2:A402, A402)</f>
        <v>28</v>
      </c>
    </row>
    <row r="403" spans="1:6" x14ac:dyDescent="0.45">
      <c r="A403" t="s">
        <v>27</v>
      </c>
      <c r="B403">
        <v>1998</v>
      </c>
      <c r="C403">
        <v>0.55659382992380857</v>
      </c>
      <c r="D403">
        <v>1998</v>
      </c>
      <c r="E403">
        <v>2013</v>
      </c>
      <c r="F403">
        <f>COUNTIFS($A$2:A403, A403)</f>
        <v>1</v>
      </c>
    </row>
    <row r="404" spans="1:6" x14ac:dyDescent="0.45">
      <c r="A404" t="s">
        <v>27</v>
      </c>
      <c r="B404">
        <v>1999</v>
      </c>
      <c r="C404">
        <v>0.55687331898231629</v>
      </c>
      <c r="D404">
        <v>1998</v>
      </c>
      <c r="E404">
        <v>2013</v>
      </c>
      <c r="F404">
        <f>COUNTIFS($A$2:A404, A404)</f>
        <v>2</v>
      </c>
    </row>
    <row r="405" spans="1:6" x14ac:dyDescent="0.45">
      <c r="A405" t="s">
        <v>27</v>
      </c>
      <c r="B405">
        <v>2000</v>
      </c>
      <c r="C405">
        <v>0.55751062977970578</v>
      </c>
      <c r="D405">
        <v>1998</v>
      </c>
      <c r="E405">
        <v>2013</v>
      </c>
      <c r="F405">
        <f>COUNTIFS($A$2:A405, A405)</f>
        <v>3</v>
      </c>
    </row>
    <row r="406" spans="1:6" x14ac:dyDescent="0.45">
      <c r="A406" t="s">
        <v>27</v>
      </c>
      <c r="B406">
        <v>2001</v>
      </c>
      <c r="C406">
        <v>0.56097409173755386</v>
      </c>
      <c r="D406">
        <v>1998</v>
      </c>
      <c r="E406">
        <v>2013</v>
      </c>
      <c r="F406">
        <f>COUNTIFS($A$2:A406, A406)</f>
        <v>4</v>
      </c>
    </row>
    <row r="407" spans="1:6" x14ac:dyDescent="0.45">
      <c r="A407" t="s">
        <v>27</v>
      </c>
      <c r="B407">
        <v>2002</v>
      </c>
      <c r="C407">
        <v>0.56928999286637272</v>
      </c>
      <c r="D407">
        <v>1998</v>
      </c>
      <c r="E407">
        <v>2013</v>
      </c>
      <c r="F407">
        <f>COUNTIFS($A$2:A407, A407)</f>
        <v>5</v>
      </c>
    </row>
    <row r="408" spans="1:6" x14ac:dyDescent="0.45">
      <c r="A408" t="s">
        <v>27</v>
      </c>
      <c r="B408">
        <v>2003</v>
      </c>
      <c r="C408">
        <v>0.69705877143237638</v>
      </c>
      <c r="D408">
        <v>1998</v>
      </c>
      <c r="E408">
        <v>2013</v>
      </c>
      <c r="F408">
        <f>COUNTIFS($A$2:A408, A408)</f>
        <v>6</v>
      </c>
    </row>
    <row r="409" spans="1:6" x14ac:dyDescent="0.45">
      <c r="A409" t="s">
        <v>27</v>
      </c>
      <c r="B409">
        <v>2004</v>
      </c>
      <c r="C409">
        <v>0.69965794528589309</v>
      </c>
      <c r="D409">
        <v>1998</v>
      </c>
      <c r="E409">
        <v>2013</v>
      </c>
      <c r="F409">
        <f>COUNTIFS($A$2:A409, A409)</f>
        <v>7</v>
      </c>
    </row>
    <row r="410" spans="1:6" x14ac:dyDescent="0.45">
      <c r="A410" t="s">
        <v>27</v>
      </c>
      <c r="B410">
        <v>2005</v>
      </c>
      <c r="C410">
        <v>0.71930314255040018</v>
      </c>
      <c r="D410">
        <v>1998</v>
      </c>
      <c r="E410">
        <v>2013</v>
      </c>
      <c r="F410">
        <f>COUNTIFS($A$2:A410, A410)</f>
        <v>8</v>
      </c>
    </row>
    <row r="411" spans="1:6" x14ac:dyDescent="0.45">
      <c r="A411" t="s">
        <v>27</v>
      </c>
      <c r="B411">
        <v>2006</v>
      </c>
      <c r="C411">
        <v>0.67639908709286278</v>
      </c>
      <c r="D411">
        <v>1998</v>
      </c>
      <c r="E411">
        <v>2013</v>
      </c>
      <c r="F411">
        <f>COUNTIFS($A$2:A411, A411)</f>
        <v>9</v>
      </c>
    </row>
    <row r="412" spans="1:6" x14ac:dyDescent="0.45">
      <c r="A412" t="s">
        <v>27</v>
      </c>
      <c r="B412">
        <v>2007</v>
      </c>
      <c r="C412">
        <v>0.70643395873589587</v>
      </c>
      <c r="D412">
        <v>1998</v>
      </c>
      <c r="E412">
        <v>2013</v>
      </c>
      <c r="F412">
        <f>COUNTIFS($A$2:A412, A412)</f>
        <v>10</v>
      </c>
    </row>
    <row r="413" spans="1:6" x14ac:dyDescent="0.45">
      <c r="A413" t="s">
        <v>27</v>
      </c>
      <c r="B413">
        <v>2008</v>
      </c>
      <c r="C413">
        <v>0.80688165398608436</v>
      </c>
      <c r="D413">
        <v>1998</v>
      </c>
      <c r="E413">
        <v>2013</v>
      </c>
      <c r="F413">
        <f>COUNTIFS($A$2:A413, A413)</f>
        <v>11</v>
      </c>
    </row>
    <row r="414" spans="1:6" x14ac:dyDescent="0.45">
      <c r="A414" t="s">
        <v>27</v>
      </c>
      <c r="B414">
        <v>2009</v>
      </c>
      <c r="C414">
        <v>0.78904357086893606</v>
      </c>
      <c r="D414">
        <v>1998</v>
      </c>
      <c r="E414">
        <v>2013</v>
      </c>
      <c r="F414">
        <f>COUNTIFS($A$2:A414, A414)</f>
        <v>12</v>
      </c>
    </row>
    <row r="415" spans="1:6" x14ac:dyDescent="0.45">
      <c r="A415" t="s">
        <v>27</v>
      </c>
      <c r="B415">
        <v>2010</v>
      </c>
      <c r="C415">
        <v>0.84168399282852324</v>
      </c>
      <c r="D415">
        <v>1998</v>
      </c>
      <c r="E415">
        <v>2013</v>
      </c>
      <c r="F415">
        <f>COUNTIFS($A$2:A415, A415)</f>
        <v>13</v>
      </c>
    </row>
    <row r="416" spans="1:6" x14ac:dyDescent="0.45">
      <c r="A416" t="s">
        <v>27</v>
      </c>
      <c r="B416">
        <v>2011</v>
      </c>
      <c r="C416">
        <v>0.88087151069715997</v>
      </c>
      <c r="D416">
        <v>1998</v>
      </c>
      <c r="E416">
        <v>2013</v>
      </c>
      <c r="F416">
        <f>COUNTIFS($A$2:A416, A416)</f>
        <v>14</v>
      </c>
    </row>
    <row r="417" spans="1:6" x14ac:dyDescent="0.45">
      <c r="A417" t="s">
        <v>27</v>
      </c>
      <c r="B417">
        <v>2012</v>
      </c>
      <c r="C417">
        <v>0.97480597013077641</v>
      </c>
      <c r="D417">
        <v>1998</v>
      </c>
      <c r="E417">
        <v>2013</v>
      </c>
      <c r="F417">
        <f>COUNTIFS($A$2:A417, A417)</f>
        <v>15</v>
      </c>
    </row>
    <row r="418" spans="1:6" x14ac:dyDescent="0.45">
      <c r="A418" t="s">
        <v>27</v>
      </c>
      <c r="B418">
        <v>2013</v>
      </c>
      <c r="C418">
        <v>1.0369949226718429</v>
      </c>
      <c r="D418">
        <v>1998</v>
      </c>
      <c r="E418">
        <v>2013</v>
      </c>
      <c r="F418">
        <f>COUNTIFS($A$2:A418, A418)</f>
        <v>16</v>
      </c>
    </row>
    <row r="419" spans="1:6" x14ac:dyDescent="0.45">
      <c r="A419" t="s">
        <v>28</v>
      </c>
      <c r="B419">
        <v>1981</v>
      </c>
      <c r="C419">
        <v>0.57761442729939427</v>
      </c>
      <c r="D419">
        <v>1981</v>
      </c>
      <c r="E419">
        <v>1986</v>
      </c>
      <c r="F419">
        <f>COUNTIFS($A$2:A419, A419)</f>
        <v>1</v>
      </c>
    </row>
    <row r="420" spans="1:6" x14ac:dyDescent="0.45">
      <c r="A420" t="s">
        <v>28</v>
      </c>
      <c r="B420">
        <v>1982</v>
      </c>
      <c r="C420">
        <v>0.62732928184612691</v>
      </c>
      <c r="D420">
        <v>1981</v>
      </c>
      <c r="E420">
        <v>1986</v>
      </c>
      <c r="F420">
        <f>COUNTIFS($A$2:A420, A420)</f>
        <v>2</v>
      </c>
    </row>
    <row r="421" spans="1:6" x14ac:dyDescent="0.45">
      <c r="A421" t="s">
        <v>28</v>
      </c>
      <c r="B421">
        <v>1983</v>
      </c>
      <c r="C421">
        <v>0.69926892283232067</v>
      </c>
      <c r="D421">
        <v>1981</v>
      </c>
      <c r="E421">
        <v>1986</v>
      </c>
      <c r="F421">
        <f>COUNTIFS($A$2:A421, A421)</f>
        <v>3</v>
      </c>
    </row>
    <row r="422" spans="1:6" x14ac:dyDescent="0.45">
      <c r="A422" t="s">
        <v>28</v>
      </c>
      <c r="B422">
        <v>1984</v>
      </c>
      <c r="C422">
        <v>0.74890131992457587</v>
      </c>
      <c r="D422">
        <v>1981</v>
      </c>
      <c r="E422">
        <v>1986</v>
      </c>
      <c r="F422">
        <f>COUNTIFS($A$2:A422, A422)</f>
        <v>4</v>
      </c>
    </row>
    <row r="423" spans="1:6" x14ac:dyDescent="0.45">
      <c r="A423" t="s">
        <v>28</v>
      </c>
      <c r="B423">
        <v>1985</v>
      </c>
      <c r="C423">
        <v>0.88174648250935828</v>
      </c>
      <c r="D423">
        <v>1981</v>
      </c>
      <c r="E423">
        <v>1986</v>
      </c>
      <c r="F423">
        <f>COUNTIFS($A$2:A423, A423)</f>
        <v>5</v>
      </c>
    </row>
    <row r="424" spans="1:6" x14ac:dyDescent="0.45">
      <c r="A424" t="s">
        <v>28</v>
      </c>
      <c r="B424">
        <v>1986</v>
      </c>
      <c r="C424">
        <v>1.014660446406124</v>
      </c>
      <c r="D424">
        <v>1981</v>
      </c>
      <c r="E424">
        <v>1986</v>
      </c>
      <c r="F424">
        <f>COUNTIFS($A$2:A424, A424)</f>
        <v>6</v>
      </c>
    </row>
    <row r="425" spans="1:6" x14ac:dyDescent="0.45">
      <c r="A425" t="s">
        <v>29</v>
      </c>
      <c r="B425">
        <v>2008</v>
      </c>
      <c r="C425">
        <v>0.51652645529271457</v>
      </c>
      <c r="D425">
        <v>2008</v>
      </c>
      <c r="E425">
        <v>2021</v>
      </c>
      <c r="F425">
        <f>COUNTIFS($A$2:A425, A425)</f>
        <v>1</v>
      </c>
    </row>
    <row r="426" spans="1:6" x14ac:dyDescent="0.45">
      <c r="A426" t="s">
        <v>29</v>
      </c>
      <c r="B426">
        <v>2009</v>
      </c>
      <c r="C426">
        <v>0.59178454631817357</v>
      </c>
      <c r="D426">
        <v>2008</v>
      </c>
      <c r="E426">
        <v>2021</v>
      </c>
      <c r="F426">
        <f>COUNTIFS($A$2:A426, A426)</f>
        <v>2</v>
      </c>
    </row>
    <row r="427" spans="1:6" x14ac:dyDescent="0.45">
      <c r="A427" t="s">
        <v>29</v>
      </c>
      <c r="B427">
        <v>2010</v>
      </c>
      <c r="C427">
        <v>0.54589987785603056</v>
      </c>
      <c r="D427">
        <v>2008</v>
      </c>
      <c r="E427">
        <v>2021</v>
      </c>
      <c r="F427">
        <f>COUNTIFS($A$2:A427, A427)</f>
        <v>3</v>
      </c>
    </row>
    <row r="428" spans="1:6" x14ac:dyDescent="0.45">
      <c r="A428" t="s">
        <v>29</v>
      </c>
      <c r="B428">
        <v>2011</v>
      </c>
      <c r="C428">
        <v>0.46424653123095272</v>
      </c>
      <c r="D428">
        <v>2008</v>
      </c>
      <c r="E428">
        <v>2021</v>
      </c>
      <c r="F428">
        <f>COUNTIFS($A$2:A428, A428)</f>
        <v>4</v>
      </c>
    </row>
    <row r="429" spans="1:6" x14ac:dyDescent="0.45">
      <c r="A429" t="s">
        <v>29</v>
      </c>
      <c r="B429">
        <v>2012</v>
      </c>
      <c r="C429">
        <v>0.48754349653414081</v>
      </c>
      <c r="D429">
        <v>2008</v>
      </c>
      <c r="E429">
        <v>2021</v>
      </c>
      <c r="F429">
        <f>COUNTIFS($A$2:A429, A429)</f>
        <v>5</v>
      </c>
    </row>
    <row r="430" spans="1:6" x14ac:dyDescent="0.45">
      <c r="A430" t="s">
        <v>29</v>
      </c>
      <c r="B430">
        <v>2013</v>
      </c>
      <c r="C430">
        <v>0.50462270838435108</v>
      </c>
      <c r="D430">
        <v>2008</v>
      </c>
      <c r="E430">
        <v>2021</v>
      </c>
      <c r="F430">
        <f>COUNTIFS($A$2:A430, A430)</f>
        <v>6</v>
      </c>
    </row>
    <row r="431" spans="1:6" x14ac:dyDescent="0.45">
      <c r="A431" t="s">
        <v>29</v>
      </c>
      <c r="B431">
        <v>2014</v>
      </c>
      <c r="C431">
        <v>0.54467047603509933</v>
      </c>
      <c r="D431">
        <v>2008</v>
      </c>
      <c r="E431">
        <v>2021</v>
      </c>
      <c r="F431">
        <f>COUNTIFS($A$2:A431, A431)</f>
        <v>7</v>
      </c>
    </row>
    <row r="432" spans="1:6" x14ac:dyDescent="0.45">
      <c r="A432" t="s">
        <v>29</v>
      </c>
      <c r="B432">
        <v>2015</v>
      </c>
      <c r="C432">
        <v>0.56908274065370446</v>
      </c>
      <c r="D432">
        <v>2008</v>
      </c>
      <c r="E432">
        <v>2021</v>
      </c>
      <c r="F432">
        <f>COUNTIFS($A$2:A432, A432)</f>
        <v>8</v>
      </c>
    </row>
    <row r="433" spans="1:6" x14ac:dyDescent="0.45">
      <c r="A433" t="s">
        <v>29</v>
      </c>
      <c r="B433">
        <v>2016</v>
      </c>
      <c r="C433">
        <v>0.69840800112115853</v>
      </c>
      <c r="D433">
        <v>2008</v>
      </c>
      <c r="E433">
        <v>2021</v>
      </c>
      <c r="F433">
        <f>COUNTIFS($A$2:A433, A433)</f>
        <v>9</v>
      </c>
    </row>
    <row r="434" spans="1:6" x14ac:dyDescent="0.45">
      <c r="A434" t="s">
        <v>29</v>
      </c>
      <c r="B434">
        <v>2017</v>
      </c>
      <c r="C434">
        <v>0.69189124341353225</v>
      </c>
      <c r="D434">
        <v>2008</v>
      </c>
      <c r="E434">
        <v>2021</v>
      </c>
      <c r="F434">
        <f>COUNTIFS($A$2:A434, A434)</f>
        <v>10</v>
      </c>
    </row>
    <row r="435" spans="1:6" x14ac:dyDescent="0.45">
      <c r="A435" t="s">
        <v>29</v>
      </c>
      <c r="B435">
        <v>2018</v>
      </c>
      <c r="C435">
        <v>0.7632460800765769</v>
      </c>
      <c r="D435">
        <v>2008</v>
      </c>
      <c r="E435">
        <v>2021</v>
      </c>
      <c r="F435">
        <f>COUNTIFS($A$2:A435, A435)</f>
        <v>11</v>
      </c>
    </row>
    <row r="436" spans="1:6" x14ac:dyDescent="0.45">
      <c r="A436" t="s">
        <v>29</v>
      </c>
      <c r="B436">
        <v>2019</v>
      </c>
      <c r="C436">
        <v>0.78945910898405369</v>
      </c>
      <c r="D436">
        <v>2008</v>
      </c>
      <c r="E436">
        <v>2021</v>
      </c>
      <c r="F436">
        <f>COUNTIFS($A$2:A436, A436)</f>
        <v>12</v>
      </c>
    </row>
    <row r="437" spans="1:6" x14ac:dyDescent="0.45">
      <c r="A437" t="s">
        <v>29</v>
      </c>
      <c r="B437">
        <v>2020</v>
      </c>
      <c r="C437">
        <v>0.88440039466326781</v>
      </c>
      <c r="D437">
        <v>2008</v>
      </c>
      <c r="E437">
        <v>2021</v>
      </c>
      <c r="F437">
        <f>COUNTIFS($A$2:A437, A437)</f>
        <v>13</v>
      </c>
    </row>
    <row r="438" spans="1:6" x14ac:dyDescent="0.45">
      <c r="A438" t="s">
        <v>29</v>
      </c>
      <c r="B438">
        <v>2021</v>
      </c>
      <c r="C438">
        <v>1.036513513754014</v>
      </c>
      <c r="D438">
        <v>2008</v>
      </c>
      <c r="E438">
        <v>2021</v>
      </c>
      <c r="F438">
        <f>COUNTIFS($A$2:A438, A438)</f>
        <v>14</v>
      </c>
    </row>
    <row r="439" spans="1:6" x14ac:dyDescent="0.45">
      <c r="A439" t="s">
        <v>30</v>
      </c>
      <c r="B439">
        <v>1960</v>
      </c>
      <c r="C439">
        <v>0.59576268576955893</v>
      </c>
      <c r="D439">
        <v>1960</v>
      </c>
      <c r="E439">
        <v>1985</v>
      </c>
      <c r="F439">
        <f>COUNTIFS($A$2:A439, A439)</f>
        <v>1</v>
      </c>
    </row>
    <row r="440" spans="1:6" x14ac:dyDescent="0.45">
      <c r="A440" t="s">
        <v>30</v>
      </c>
      <c r="B440">
        <v>1961</v>
      </c>
      <c r="C440">
        <v>0.62730371332676249</v>
      </c>
      <c r="D440">
        <v>1960</v>
      </c>
      <c r="E440">
        <v>1985</v>
      </c>
      <c r="F440">
        <f>COUNTIFS($A$2:A440, A440)</f>
        <v>2</v>
      </c>
    </row>
    <row r="441" spans="1:6" x14ac:dyDescent="0.45">
      <c r="A441" t="s">
        <v>30</v>
      </c>
      <c r="B441">
        <v>1970</v>
      </c>
      <c r="C441">
        <v>0.77800863943345222</v>
      </c>
      <c r="D441">
        <v>1960</v>
      </c>
      <c r="E441">
        <v>1985</v>
      </c>
      <c r="F441">
        <f>COUNTIFS($A$2:A441, A441)</f>
        <v>3</v>
      </c>
    </row>
    <row r="442" spans="1:6" x14ac:dyDescent="0.45">
      <c r="A442" t="s">
        <v>30</v>
      </c>
      <c r="B442">
        <v>1971</v>
      </c>
      <c r="C442">
        <v>0.81537962241239514</v>
      </c>
      <c r="D442">
        <v>1960</v>
      </c>
      <c r="E442">
        <v>1985</v>
      </c>
      <c r="F442">
        <f>COUNTIFS($A$2:A442, A442)</f>
        <v>4</v>
      </c>
    </row>
    <row r="443" spans="1:6" x14ac:dyDescent="0.45">
      <c r="A443" t="s">
        <v>30</v>
      </c>
      <c r="B443">
        <v>1972</v>
      </c>
      <c r="C443">
        <v>0.87101995973744484</v>
      </c>
      <c r="D443">
        <v>1960</v>
      </c>
      <c r="E443">
        <v>1985</v>
      </c>
      <c r="F443">
        <f>COUNTIFS($A$2:A443, A443)</f>
        <v>5</v>
      </c>
    </row>
    <row r="444" spans="1:6" x14ac:dyDescent="0.45">
      <c r="A444" t="s">
        <v>30</v>
      </c>
      <c r="B444">
        <v>1982</v>
      </c>
      <c r="C444">
        <v>0.89234076647779215</v>
      </c>
      <c r="D444">
        <v>1960</v>
      </c>
      <c r="E444">
        <v>1985</v>
      </c>
      <c r="F444">
        <f>COUNTIFS($A$2:A444, A444)</f>
        <v>6</v>
      </c>
    </row>
    <row r="445" spans="1:6" x14ac:dyDescent="0.45">
      <c r="A445" t="s">
        <v>30</v>
      </c>
      <c r="B445">
        <v>1983</v>
      </c>
      <c r="C445">
        <v>0.9342102948846589</v>
      </c>
      <c r="D445">
        <v>1960</v>
      </c>
      <c r="E445">
        <v>1985</v>
      </c>
      <c r="F445">
        <f>COUNTIFS($A$2:A445, A445)</f>
        <v>7</v>
      </c>
    </row>
    <row r="446" spans="1:6" x14ac:dyDescent="0.45">
      <c r="A446" t="s">
        <v>30</v>
      </c>
      <c r="B446">
        <v>1984</v>
      </c>
      <c r="C446">
        <v>0.95369281205308876</v>
      </c>
      <c r="D446">
        <v>1960</v>
      </c>
      <c r="E446">
        <v>1985</v>
      </c>
      <c r="F446">
        <f>COUNTIFS($A$2:A446, A446)</f>
        <v>8</v>
      </c>
    </row>
    <row r="447" spans="1:6" x14ac:dyDescent="0.45">
      <c r="A447" t="s">
        <v>30</v>
      </c>
      <c r="B447">
        <v>1985</v>
      </c>
      <c r="C447">
        <v>1.008717288764053</v>
      </c>
      <c r="D447">
        <v>1960</v>
      </c>
      <c r="E447">
        <v>1985</v>
      </c>
      <c r="F447">
        <f>COUNTIFS($A$2:A447, A447)</f>
        <v>9</v>
      </c>
    </row>
    <row r="448" spans="1:6" x14ac:dyDescent="0.45">
      <c r="A448" t="s">
        <v>31</v>
      </c>
      <c r="B448">
        <v>1960</v>
      </c>
      <c r="C448">
        <v>0.59997438025034966</v>
      </c>
      <c r="D448">
        <v>1960</v>
      </c>
      <c r="E448">
        <v>1985</v>
      </c>
      <c r="F448">
        <f>COUNTIFS($A$2:A448, A448)</f>
        <v>1</v>
      </c>
    </row>
    <row r="449" spans="1:6" x14ac:dyDescent="0.45">
      <c r="A449" t="s">
        <v>31</v>
      </c>
      <c r="B449">
        <v>1961</v>
      </c>
      <c r="C449">
        <v>0.63230519626563808</v>
      </c>
      <c r="D449">
        <v>1960</v>
      </c>
      <c r="E449">
        <v>1985</v>
      </c>
      <c r="F449">
        <f>COUNTIFS($A$2:A449, A449)</f>
        <v>2</v>
      </c>
    </row>
    <row r="450" spans="1:6" x14ac:dyDescent="0.45">
      <c r="A450" t="s">
        <v>31</v>
      </c>
      <c r="B450">
        <v>1962</v>
      </c>
      <c r="C450">
        <v>0.63948316286123463</v>
      </c>
      <c r="D450">
        <v>1960</v>
      </c>
      <c r="E450">
        <v>1985</v>
      </c>
      <c r="F450">
        <f>COUNTIFS($A$2:A450, A450)</f>
        <v>3</v>
      </c>
    </row>
    <row r="451" spans="1:6" x14ac:dyDescent="0.45">
      <c r="A451" t="s">
        <v>31</v>
      </c>
      <c r="B451">
        <v>1970</v>
      </c>
      <c r="C451">
        <v>0.78240109272677627</v>
      </c>
      <c r="D451">
        <v>1960</v>
      </c>
      <c r="E451">
        <v>1985</v>
      </c>
      <c r="F451">
        <f>COUNTIFS($A$2:A451, A451)</f>
        <v>4</v>
      </c>
    </row>
    <row r="452" spans="1:6" x14ac:dyDescent="0.45">
      <c r="A452" t="s">
        <v>31</v>
      </c>
      <c r="B452">
        <v>1971</v>
      </c>
      <c r="C452">
        <v>0.81981257406337493</v>
      </c>
      <c r="D452">
        <v>1960</v>
      </c>
      <c r="E452">
        <v>1985</v>
      </c>
      <c r="F452">
        <f>COUNTIFS($A$2:A452, A452)</f>
        <v>5</v>
      </c>
    </row>
    <row r="453" spans="1:6" x14ac:dyDescent="0.45">
      <c r="A453" t="s">
        <v>31</v>
      </c>
      <c r="B453">
        <v>1972</v>
      </c>
      <c r="C453">
        <v>0.87614425837583088</v>
      </c>
      <c r="D453">
        <v>1960</v>
      </c>
      <c r="E453">
        <v>1985</v>
      </c>
      <c r="F453">
        <f>COUNTIFS($A$2:A453, A453)</f>
        <v>6</v>
      </c>
    </row>
    <row r="454" spans="1:6" x14ac:dyDescent="0.45">
      <c r="A454" t="s">
        <v>31</v>
      </c>
      <c r="B454">
        <v>1973</v>
      </c>
      <c r="C454">
        <v>0.88095128126505617</v>
      </c>
      <c r="D454">
        <v>1960</v>
      </c>
      <c r="E454">
        <v>1985</v>
      </c>
      <c r="F454">
        <f>COUNTIFS($A$2:A454, A454)</f>
        <v>7</v>
      </c>
    </row>
    <row r="455" spans="1:6" x14ac:dyDescent="0.45">
      <c r="A455" t="s">
        <v>31</v>
      </c>
      <c r="B455">
        <v>1981</v>
      </c>
      <c r="C455">
        <v>0.86892037170214709</v>
      </c>
      <c r="D455">
        <v>1960</v>
      </c>
      <c r="E455">
        <v>1985</v>
      </c>
      <c r="F455">
        <f>COUNTIFS($A$2:A455, A455)</f>
        <v>8</v>
      </c>
    </row>
    <row r="456" spans="1:6" x14ac:dyDescent="0.45">
      <c r="A456" t="s">
        <v>31</v>
      </c>
      <c r="B456">
        <v>1982</v>
      </c>
      <c r="C456">
        <v>0.89744542144719675</v>
      </c>
      <c r="D456">
        <v>1960</v>
      </c>
      <c r="E456">
        <v>1985</v>
      </c>
      <c r="F456">
        <f>COUNTIFS($A$2:A456, A456)</f>
        <v>9</v>
      </c>
    </row>
    <row r="457" spans="1:6" x14ac:dyDescent="0.45">
      <c r="A457" t="s">
        <v>31</v>
      </c>
      <c r="B457">
        <v>1983</v>
      </c>
      <c r="C457">
        <v>0.93932748681830769</v>
      </c>
      <c r="D457">
        <v>1960</v>
      </c>
      <c r="E457">
        <v>1985</v>
      </c>
      <c r="F457">
        <f>COUNTIFS($A$2:A457, A457)</f>
        <v>10</v>
      </c>
    </row>
    <row r="458" spans="1:6" x14ac:dyDescent="0.45">
      <c r="A458" t="s">
        <v>31</v>
      </c>
      <c r="B458">
        <v>1984</v>
      </c>
      <c r="C458">
        <v>0.95785020082724759</v>
      </c>
      <c r="D458">
        <v>1960</v>
      </c>
      <c r="E458">
        <v>1985</v>
      </c>
      <c r="F458">
        <f>COUNTIFS($A$2:A458, A458)</f>
        <v>11</v>
      </c>
    </row>
    <row r="459" spans="1:6" x14ac:dyDescent="0.45">
      <c r="A459" t="s">
        <v>31</v>
      </c>
      <c r="B459">
        <v>1985</v>
      </c>
      <c r="C459">
        <v>1.013588987299924</v>
      </c>
      <c r="D459">
        <v>1960</v>
      </c>
      <c r="E459">
        <v>1985</v>
      </c>
      <c r="F459">
        <f>COUNTIFS($A$2:A459, A459)</f>
        <v>12</v>
      </c>
    </row>
    <row r="460" spans="1:6" x14ac:dyDescent="0.45">
      <c r="A460" t="s">
        <v>32</v>
      </c>
      <c r="B460">
        <v>1991</v>
      </c>
      <c r="C460">
        <v>0.53255108556832698</v>
      </c>
      <c r="D460">
        <v>1991</v>
      </c>
      <c r="E460">
        <v>2019</v>
      </c>
      <c r="F460">
        <f>COUNTIFS($A$2:A460, A460)</f>
        <v>1</v>
      </c>
    </row>
    <row r="461" spans="1:6" x14ac:dyDescent="0.45">
      <c r="A461" t="s">
        <v>32</v>
      </c>
      <c r="B461">
        <v>1992</v>
      </c>
      <c r="C461">
        <v>0.65079763130932688</v>
      </c>
      <c r="D461">
        <v>1991</v>
      </c>
      <c r="E461">
        <v>2019</v>
      </c>
      <c r="F461">
        <f>COUNTIFS($A$2:A461, A461)</f>
        <v>2</v>
      </c>
    </row>
    <row r="462" spans="1:6" x14ac:dyDescent="0.45">
      <c r="A462" t="s">
        <v>32</v>
      </c>
      <c r="B462">
        <v>1993</v>
      </c>
      <c r="C462">
        <v>0.42060651138019728</v>
      </c>
      <c r="D462">
        <v>1991</v>
      </c>
      <c r="E462">
        <v>2019</v>
      </c>
      <c r="F462">
        <f>COUNTIFS($A$2:A462, A462)</f>
        <v>3</v>
      </c>
    </row>
    <row r="463" spans="1:6" x14ac:dyDescent="0.45">
      <c r="A463" t="s">
        <v>32</v>
      </c>
      <c r="B463">
        <v>1994</v>
      </c>
      <c r="C463">
        <v>0.35591400794504319</v>
      </c>
      <c r="D463">
        <v>1991</v>
      </c>
      <c r="E463">
        <v>2019</v>
      </c>
      <c r="F463">
        <f>COUNTIFS($A$2:A463, A463)</f>
        <v>4</v>
      </c>
    </row>
    <row r="464" spans="1:6" x14ac:dyDescent="0.45">
      <c r="A464" t="s">
        <v>32</v>
      </c>
      <c r="B464">
        <v>1995</v>
      </c>
      <c r="C464">
        <v>0.34696172232748251</v>
      </c>
      <c r="D464">
        <v>1991</v>
      </c>
      <c r="E464">
        <v>2019</v>
      </c>
      <c r="F464">
        <f>COUNTIFS($A$2:A464, A464)</f>
        <v>5</v>
      </c>
    </row>
    <row r="465" spans="1:6" x14ac:dyDescent="0.45">
      <c r="A465" t="s">
        <v>32</v>
      </c>
      <c r="B465">
        <v>1996</v>
      </c>
      <c r="C465">
        <v>0.31127184350048043</v>
      </c>
      <c r="D465">
        <v>1991</v>
      </c>
      <c r="E465">
        <v>2019</v>
      </c>
      <c r="F465">
        <f>COUNTIFS($A$2:A465, A465)</f>
        <v>6</v>
      </c>
    </row>
    <row r="466" spans="1:6" x14ac:dyDescent="0.45">
      <c r="A466" t="s">
        <v>32</v>
      </c>
      <c r="B466">
        <v>1997</v>
      </c>
      <c r="C466">
        <v>0.30550043992924159</v>
      </c>
      <c r="D466">
        <v>1991</v>
      </c>
      <c r="E466">
        <v>2019</v>
      </c>
      <c r="F466">
        <f>COUNTIFS($A$2:A466, A466)</f>
        <v>7</v>
      </c>
    </row>
    <row r="467" spans="1:6" x14ac:dyDescent="0.45">
      <c r="A467" t="s">
        <v>32</v>
      </c>
      <c r="B467">
        <v>1998</v>
      </c>
      <c r="C467">
        <v>0.38755958381025418</v>
      </c>
      <c r="D467">
        <v>1991</v>
      </c>
      <c r="E467">
        <v>2019</v>
      </c>
      <c r="F467">
        <f>COUNTIFS($A$2:A467, A467)</f>
        <v>8</v>
      </c>
    </row>
    <row r="468" spans="1:6" x14ac:dyDescent="0.45">
      <c r="A468" t="s">
        <v>32</v>
      </c>
      <c r="B468">
        <v>1999</v>
      </c>
      <c r="C468">
        <v>0.34762918135266341</v>
      </c>
      <c r="D468">
        <v>1991</v>
      </c>
      <c r="E468">
        <v>2019</v>
      </c>
      <c r="F468">
        <f>COUNTIFS($A$2:A468, A468)</f>
        <v>9</v>
      </c>
    </row>
    <row r="469" spans="1:6" x14ac:dyDescent="0.45">
      <c r="A469" t="s">
        <v>32</v>
      </c>
      <c r="B469">
        <v>2000</v>
      </c>
      <c r="C469">
        <v>0.26848992977137021</v>
      </c>
      <c r="D469">
        <v>1991</v>
      </c>
      <c r="E469">
        <v>2019</v>
      </c>
      <c r="F469">
        <f>COUNTIFS($A$2:A469, A469)</f>
        <v>10</v>
      </c>
    </row>
    <row r="470" spans="1:6" x14ac:dyDescent="0.45">
      <c r="A470" t="s">
        <v>32</v>
      </c>
      <c r="B470">
        <v>2001</v>
      </c>
      <c r="C470">
        <v>0.3489328477443609</v>
      </c>
      <c r="D470">
        <v>1991</v>
      </c>
      <c r="E470">
        <v>2019</v>
      </c>
      <c r="F470">
        <f>COUNTIFS($A$2:A470, A470)</f>
        <v>11</v>
      </c>
    </row>
    <row r="471" spans="1:6" x14ac:dyDescent="0.45">
      <c r="A471" t="s">
        <v>32</v>
      </c>
      <c r="B471">
        <v>2002</v>
      </c>
      <c r="C471">
        <v>0.28678248964303948</v>
      </c>
      <c r="D471">
        <v>1991</v>
      </c>
      <c r="E471">
        <v>2019</v>
      </c>
      <c r="F471">
        <f>COUNTIFS($A$2:A471, A471)</f>
        <v>12</v>
      </c>
    </row>
    <row r="472" spans="1:6" x14ac:dyDescent="0.45">
      <c r="A472" t="s">
        <v>32</v>
      </c>
      <c r="B472">
        <v>2003</v>
      </c>
      <c r="C472">
        <v>0.29988158248018398</v>
      </c>
      <c r="D472">
        <v>1991</v>
      </c>
      <c r="E472">
        <v>2019</v>
      </c>
      <c r="F472">
        <f>COUNTIFS($A$2:A472, A472)</f>
        <v>13</v>
      </c>
    </row>
    <row r="473" spans="1:6" x14ac:dyDescent="0.45">
      <c r="A473" t="s">
        <v>32</v>
      </c>
      <c r="B473">
        <v>2004</v>
      </c>
      <c r="C473">
        <v>0.28984866507375862</v>
      </c>
      <c r="D473">
        <v>1991</v>
      </c>
      <c r="E473">
        <v>2019</v>
      </c>
      <c r="F473">
        <f>COUNTIFS($A$2:A473, A473)</f>
        <v>14</v>
      </c>
    </row>
    <row r="474" spans="1:6" x14ac:dyDescent="0.45">
      <c r="A474" t="s">
        <v>32</v>
      </c>
      <c r="B474">
        <v>2005</v>
      </c>
      <c r="C474">
        <v>0.33721586639603679</v>
      </c>
      <c r="D474">
        <v>1991</v>
      </c>
      <c r="E474">
        <v>2019</v>
      </c>
      <c r="F474">
        <f>COUNTIFS($A$2:A474, A474)</f>
        <v>15</v>
      </c>
    </row>
    <row r="475" spans="1:6" x14ac:dyDescent="0.45">
      <c r="A475" t="s">
        <v>32</v>
      </c>
      <c r="B475">
        <v>2006</v>
      </c>
      <c r="C475">
        <v>0.35997458158665407</v>
      </c>
      <c r="D475">
        <v>1991</v>
      </c>
      <c r="E475">
        <v>2019</v>
      </c>
      <c r="F475">
        <f>COUNTIFS($A$2:A475, A475)</f>
        <v>16</v>
      </c>
    </row>
    <row r="476" spans="1:6" x14ac:dyDescent="0.45">
      <c r="A476" t="s">
        <v>32</v>
      </c>
      <c r="B476">
        <v>2007</v>
      </c>
      <c r="C476">
        <v>0.41576840759326139</v>
      </c>
      <c r="D476">
        <v>1991</v>
      </c>
      <c r="E476">
        <v>2019</v>
      </c>
      <c r="F476">
        <f>COUNTIFS($A$2:A476, A476)</f>
        <v>17</v>
      </c>
    </row>
    <row r="477" spans="1:6" x14ac:dyDescent="0.45">
      <c r="A477" t="s">
        <v>32</v>
      </c>
      <c r="B477">
        <v>2008</v>
      </c>
      <c r="C477">
        <v>0.40801185462709411</v>
      </c>
      <c r="D477">
        <v>1991</v>
      </c>
      <c r="E477">
        <v>2019</v>
      </c>
      <c r="F477">
        <f>COUNTIFS($A$2:A477, A477)</f>
        <v>18</v>
      </c>
    </row>
    <row r="478" spans="1:6" x14ac:dyDescent="0.45">
      <c r="A478" t="s">
        <v>32</v>
      </c>
      <c r="B478">
        <v>2009</v>
      </c>
      <c r="C478">
        <v>0.51735108684049369</v>
      </c>
      <c r="D478">
        <v>1991</v>
      </c>
      <c r="E478">
        <v>2019</v>
      </c>
      <c r="F478">
        <f>COUNTIFS($A$2:A478, A478)</f>
        <v>19</v>
      </c>
    </row>
    <row r="479" spans="1:6" x14ac:dyDescent="0.45">
      <c r="A479" t="s">
        <v>32</v>
      </c>
      <c r="B479">
        <v>2010</v>
      </c>
      <c r="C479">
        <v>0.45242405495074478</v>
      </c>
      <c r="D479">
        <v>1991</v>
      </c>
      <c r="E479">
        <v>2019</v>
      </c>
      <c r="F479">
        <f>COUNTIFS($A$2:A479, A479)</f>
        <v>20</v>
      </c>
    </row>
    <row r="480" spans="1:6" x14ac:dyDescent="0.45">
      <c r="A480" t="s">
        <v>32</v>
      </c>
      <c r="B480">
        <v>2011</v>
      </c>
      <c r="C480">
        <v>0.39753024879564841</v>
      </c>
      <c r="D480">
        <v>1991</v>
      </c>
      <c r="E480">
        <v>2019</v>
      </c>
      <c r="F480">
        <f>COUNTIFS($A$2:A480, A480)</f>
        <v>21</v>
      </c>
    </row>
    <row r="481" spans="1:6" x14ac:dyDescent="0.45">
      <c r="A481" t="s">
        <v>32</v>
      </c>
      <c r="B481">
        <v>2012</v>
      </c>
      <c r="C481">
        <v>0.37128439552166381</v>
      </c>
      <c r="D481">
        <v>1991</v>
      </c>
      <c r="E481">
        <v>2019</v>
      </c>
      <c r="F481">
        <f>COUNTIFS($A$2:A481, A481)</f>
        <v>22</v>
      </c>
    </row>
    <row r="482" spans="1:6" x14ac:dyDescent="0.45">
      <c r="A482" t="s">
        <v>32</v>
      </c>
      <c r="B482">
        <v>2013</v>
      </c>
      <c r="C482">
        <v>0.4000531900039952</v>
      </c>
      <c r="D482">
        <v>1991</v>
      </c>
      <c r="E482">
        <v>2019</v>
      </c>
      <c r="F482">
        <f>COUNTIFS($A$2:A482, A482)</f>
        <v>23</v>
      </c>
    </row>
    <row r="483" spans="1:6" x14ac:dyDescent="0.45">
      <c r="A483" t="s">
        <v>32</v>
      </c>
      <c r="B483">
        <v>2014</v>
      </c>
      <c r="C483">
        <v>0.46096780291424322</v>
      </c>
      <c r="D483">
        <v>1991</v>
      </c>
      <c r="E483">
        <v>2019</v>
      </c>
      <c r="F483">
        <f>COUNTIFS($A$2:A483, A483)</f>
        <v>24</v>
      </c>
    </row>
    <row r="484" spans="1:6" x14ac:dyDescent="0.45">
      <c r="A484" t="s">
        <v>32</v>
      </c>
      <c r="B484">
        <v>2015</v>
      </c>
      <c r="C484">
        <v>0.70842532862944663</v>
      </c>
      <c r="D484">
        <v>1991</v>
      </c>
      <c r="E484">
        <v>2019</v>
      </c>
      <c r="F484">
        <f>COUNTIFS($A$2:A484, A484)</f>
        <v>25</v>
      </c>
    </row>
    <row r="485" spans="1:6" x14ac:dyDescent="0.45">
      <c r="A485" t="s">
        <v>32</v>
      </c>
      <c r="B485">
        <v>2016</v>
      </c>
      <c r="C485">
        <v>0.79760609083749012</v>
      </c>
      <c r="D485">
        <v>1991</v>
      </c>
      <c r="E485">
        <v>2019</v>
      </c>
      <c r="F485">
        <f>COUNTIFS($A$2:A485, A485)</f>
        <v>26</v>
      </c>
    </row>
    <row r="486" spans="1:6" x14ac:dyDescent="0.45">
      <c r="A486" t="s">
        <v>32</v>
      </c>
      <c r="B486">
        <v>2017</v>
      </c>
      <c r="C486">
        <v>0.80081674144484749</v>
      </c>
      <c r="D486">
        <v>1991</v>
      </c>
      <c r="E486">
        <v>2019</v>
      </c>
      <c r="F486">
        <f>COUNTIFS($A$2:A486, A486)</f>
        <v>27</v>
      </c>
    </row>
    <row r="487" spans="1:6" x14ac:dyDescent="0.45">
      <c r="A487" t="s">
        <v>32</v>
      </c>
      <c r="B487">
        <v>2018</v>
      </c>
      <c r="C487">
        <v>0.80436747235292361</v>
      </c>
      <c r="D487">
        <v>1991</v>
      </c>
      <c r="E487">
        <v>2019</v>
      </c>
      <c r="F487">
        <f>COUNTIFS($A$2:A487, A487)</f>
        <v>28</v>
      </c>
    </row>
    <row r="488" spans="1:6" x14ac:dyDescent="0.45">
      <c r="A488" t="s">
        <v>32</v>
      </c>
      <c r="B488">
        <v>2019</v>
      </c>
      <c r="C488">
        <v>1.0063605496641701</v>
      </c>
      <c r="D488">
        <v>1991</v>
      </c>
      <c r="E488">
        <v>2019</v>
      </c>
      <c r="F488">
        <f>COUNTIFS($A$2:A488, A488)</f>
        <v>29</v>
      </c>
    </row>
    <row r="489" spans="1:6" x14ac:dyDescent="0.45">
      <c r="A489" t="s">
        <v>33</v>
      </c>
      <c r="B489">
        <v>1972</v>
      </c>
      <c r="C489">
        <v>0.5025113522758754</v>
      </c>
      <c r="D489">
        <v>1972</v>
      </c>
      <c r="E489">
        <v>1998</v>
      </c>
      <c r="F489">
        <f>COUNTIFS($A$2:A489, A489)</f>
        <v>1</v>
      </c>
    </row>
    <row r="490" spans="1:6" x14ac:dyDescent="0.45">
      <c r="A490" t="s">
        <v>33</v>
      </c>
      <c r="B490">
        <v>1973</v>
      </c>
      <c r="C490">
        <v>0.59082688829889574</v>
      </c>
      <c r="D490">
        <v>1972</v>
      </c>
      <c r="E490">
        <v>1998</v>
      </c>
      <c r="F490">
        <f>COUNTIFS($A$2:A490, A490)</f>
        <v>2</v>
      </c>
    </row>
    <row r="491" spans="1:6" x14ac:dyDescent="0.45">
      <c r="A491" t="s">
        <v>33</v>
      </c>
      <c r="B491">
        <v>1974</v>
      </c>
      <c r="C491">
        <v>0.53314525305110905</v>
      </c>
      <c r="D491">
        <v>1972</v>
      </c>
      <c r="E491">
        <v>1998</v>
      </c>
      <c r="F491">
        <f>COUNTIFS($A$2:A491, A491)</f>
        <v>3</v>
      </c>
    </row>
    <row r="492" spans="1:6" x14ac:dyDescent="0.45">
      <c r="A492" t="s">
        <v>33</v>
      </c>
      <c r="B492">
        <v>1975</v>
      </c>
      <c r="C492">
        <v>0.56006759562085262</v>
      </c>
      <c r="D492">
        <v>1972</v>
      </c>
      <c r="E492">
        <v>1998</v>
      </c>
      <c r="F492">
        <f>COUNTIFS($A$2:A492, A492)</f>
        <v>4</v>
      </c>
    </row>
    <row r="493" spans="1:6" x14ac:dyDescent="0.45">
      <c r="A493" t="s">
        <v>33</v>
      </c>
      <c r="B493">
        <v>1976</v>
      </c>
      <c r="C493">
        <v>0.57340336190463492</v>
      </c>
      <c r="D493">
        <v>1972</v>
      </c>
      <c r="E493">
        <v>1998</v>
      </c>
      <c r="F493">
        <f>COUNTIFS($A$2:A493, A493)</f>
        <v>5</v>
      </c>
    </row>
    <row r="494" spans="1:6" x14ac:dyDescent="0.45">
      <c r="A494" t="s">
        <v>33</v>
      </c>
      <c r="B494">
        <v>1977</v>
      </c>
      <c r="C494">
        <v>0.58172100873223587</v>
      </c>
      <c r="D494">
        <v>1972</v>
      </c>
      <c r="E494">
        <v>1998</v>
      </c>
      <c r="F494">
        <f>COUNTIFS($A$2:A494, A494)</f>
        <v>6</v>
      </c>
    </row>
    <row r="495" spans="1:6" x14ac:dyDescent="0.45">
      <c r="A495" t="s">
        <v>33</v>
      </c>
      <c r="B495">
        <v>1978</v>
      </c>
      <c r="C495">
        <v>0.60193920621244013</v>
      </c>
      <c r="D495">
        <v>1972</v>
      </c>
      <c r="E495">
        <v>1998</v>
      </c>
      <c r="F495">
        <f>COUNTIFS($A$2:A495, A495)</f>
        <v>7</v>
      </c>
    </row>
    <row r="496" spans="1:6" x14ac:dyDescent="0.45">
      <c r="A496" t="s">
        <v>33</v>
      </c>
      <c r="B496">
        <v>1979</v>
      </c>
      <c r="C496">
        <v>0.64589521881444767</v>
      </c>
      <c r="D496">
        <v>1972</v>
      </c>
      <c r="E496">
        <v>1998</v>
      </c>
      <c r="F496">
        <f>COUNTIFS($A$2:A496, A496)</f>
        <v>8</v>
      </c>
    </row>
    <row r="497" spans="1:6" x14ac:dyDescent="0.45">
      <c r="A497" t="s">
        <v>33</v>
      </c>
      <c r="B497">
        <v>1980</v>
      </c>
      <c r="C497">
        <v>0.68907134242508594</v>
      </c>
      <c r="D497">
        <v>1972</v>
      </c>
      <c r="E497">
        <v>1998</v>
      </c>
      <c r="F497">
        <f>COUNTIFS($A$2:A497, A497)</f>
        <v>9</v>
      </c>
    </row>
    <row r="498" spans="1:6" x14ac:dyDescent="0.45">
      <c r="A498" t="s">
        <v>33</v>
      </c>
      <c r="B498">
        <v>1981</v>
      </c>
      <c r="C498">
        <v>0.75342646283605708</v>
      </c>
      <c r="D498">
        <v>1972</v>
      </c>
      <c r="E498">
        <v>1998</v>
      </c>
      <c r="F498">
        <f>COUNTIFS($A$2:A498, A498)</f>
        <v>10</v>
      </c>
    </row>
    <row r="499" spans="1:6" x14ac:dyDescent="0.45">
      <c r="A499" t="s">
        <v>33</v>
      </c>
      <c r="B499">
        <v>1982</v>
      </c>
      <c r="C499">
        <v>0.80120772662531048</v>
      </c>
      <c r="D499">
        <v>1972</v>
      </c>
      <c r="E499">
        <v>1998</v>
      </c>
      <c r="F499">
        <f>COUNTIFS($A$2:A499, A499)</f>
        <v>11</v>
      </c>
    </row>
    <row r="500" spans="1:6" x14ac:dyDescent="0.45">
      <c r="A500" t="s">
        <v>33</v>
      </c>
      <c r="B500">
        <v>1983</v>
      </c>
      <c r="C500">
        <v>0.85608807609438231</v>
      </c>
      <c r="D500">
        <v>1972</v>
      </c>
      <c r="E500">
        <v>1998</v>
      </c>
      <c r="F500">
        <f>COUNTIFS($A$2:A500, A500)</f>
        <v>12</v>
      </c>
    </row>
    <row r="501" spans="1:6" x14ac:dyDescent="0.45">
      <c r="A501" t="s">
        <v>33</v>
      </c>
      <c r="B501">
        <v>1984</v>
      </c>
      <c r="C501">
        <v>0.85328681249161287</v>
      </c>
      <c r="D501">
        <v>1972</v>
      </c>
      <c r="E501">
        <v>1998</v>
      </c>
      <c r="F501">
        <f>COUNTIFS($A$2:A501, A501)</f>
        <v>13</v>
      </c>
    </row>
    <row r="502" spans="1:6" x14ac:dyDescent="0.45">
      <c r="A502" t="s">
        <v>33</v>
      </c>
      <c r="B502">
        <v>1985</v>
      </c>
      <c r="C502">
        <v>0.87605352545591586</v>
      </c>
      <c r="D502">
        <v>1972</v>
      </c>
      <c r="E502">
        <v>1998</v>
      </c>
      <c r="F502">
        <f>COUNTIFS($A$2:A502, A502)</f>
        <v>14</v>
      </c>
    </row>
    <row r="503" spans="1:6" x14ac:dyDescent="0.45">
      <c r="A503" t="s">
        <v>33</v>
      </c>
      <c r="B503">
        <v>1986</v>
      </c>
      <c r="C503">
        <v>0.84350018462953047</v>
      </c>
      <c r="D503">
        <v>1972</v>
      </c>
      <c r="E503">
        <v>1998</v>
      </c>
      <c r="F503">
        <f>COUNTIFS($A$2:A503, A503)</f>
        <v>15</v>
      </c>
    </row>
    <row r="504" spans="1:6" x14ac:dyDescent="0.45">
      <c r="A504" t="s">
        <v>33</v>
      </c>
      <c r="B504">
        <v>1987</v>
      </c>
      <c r="C504">
        <v>0.80576076576032662</v>
      </c>
      <c r="D504">
        <v>1972</v>
      </c>
      <c r="E504">
        <v>1998</v>
      </c>
      <c r="F504">
        <f>COUNTIFS($A$2:A504, A504)</f>
        <v>16</v>
      </c>
    </row>
    <row r="505" spans="1:6" x14ac:dyDescent="0.45">
      <c r="A505" t="s">
        <v>33</v>
      </c>
      <c r="B505">
        <v>1988</v>
      </c>
      <c r="C505">
        <v>0.76352693033988794</v>
      </c>
      <c r="D505">
        <v>1972</v>
      </c>
      <c r="E505">
        <v>1998</v>
      </c>
      <c r="F505">
        <f>COUNTIFS($A$2:A505, A505)</f>
        <v>17</v>
      </c>
    </row>
    <row r="506" spans="1:6" x14ac:dyDescent="0.45">
      <c r="A506" t="s">
        <v>33</v>
      </c>
      <c r="B506">
        <v>1989</v>
      </c>
      <c r="C506">
        <v>0.7954035737295807</v>
      </c>
      <c r="D506">
        <v>1972</v>
      </c>
      <c r="E506">
        <v>1998</v>
      </c>
      <c r="F506">
        <f>COUNTIFS($A$2:A506, A506)</f>
        <v>18</v>
      </c>
    </row>
    <row r="507" spans="1:6" x14ac:dyDescent="0.45">
      <c r="A507" t="s">
        <v>33</v>
      </c>
      <c r="B507">
        <v>1990</v>
      </c>
      <c r="C507">
        <v>0.79164674723338579</v>
      </c>
      <c r="D507">
        <v>1972</v>
      </c>
      <c r="E507">
        <v>1998</v>
      </c>
      <c r="F507">
        <f>COUNTIFS($A$2:A507, A507)</f>
        <v>19</v>
      </c>
    </row>
    <row r="508" spans="1:6" x14ac:dyDescent="0.45">
      <c r="A508" t="s">
        <v>33</v>
      </c>
      <c r="B508">
        <v>1991</v>
      </c>
      <c r="C508">
        <v>0.79871102125210713</v>
      </c>
      <c r="D508">
        <v>1972</v>
      </c>
      <c r="E508">
        <v>1998</v>
      </c>
      <c r="F508">
        <f>COUNTIFS($A$2:A508, A508)</f>
        <v>20</v>
      </c>
    </row>
    <row r="509" spans="1:6" x14ac:dyDescent="0.45">
      <c r="A509" t="s">
        <v>33</v>
      </c>
      <c r="B509">
        <v>1992</v>
      </c>
      <c r="C509">
        <v>0.81085536774524802</v>
      </c>
      <c r="D509">
        <v>1972</v>
      </c>
      <c r="E509">
        <v>1998</v>
      </c>
      <c r="F509">
        <f>COUNTIFS($A$2:A509, A509)</f>
        <v>21</v>
      </c>
    </row>
    <row r="510" spans="1:6" x14ac:dyDescent="0.45">
      <c r="A510" t="s">
        <v>33</v>
      </c>
      <c r="B510">
        <v>1993</v>
      </c>
      <c r="C510">
        <v>0.80971701263542517</v>
      </c>
      <c r="D510">
        <v>1972</v>
      </c>
      <c r="E510">
        <v>1998</v>
      </c>
      <c r="F510">
        <f>COUNTIFS($A$2:A510, A510)</f>
        <v>22</v>
      </c>
    </row>
    <row r="511" spans="1:6" x14ac:dyDescent="0.45">
      <c r="A511" t="s">
        <v>33</v>
      </c>
      <c r="B511">
        <v>1994</v>
      </c>
      <c r="C511">
        <v>0.8119024053932552</v>
      </c>
      <c r="D511">
        <v>1972</v>
      </c>
      <c r="E511">
        <v>1998</v>
      </c>
      <c r="F511">
        <f>COUNTIFS($A$2:A511, A511)</f>
        <v>23</v>
      </c>
    </row>
    <row r="512" spans="1:6" x14ac:dyDescent="0.45">
      <c r="A512" t="s">
        <v>33</v>
      </c>
      <c r="B512">
        <v>1995</v>
      </c>
      <c r="C512">
        <v>0.88293496958541196</v>
      </c>
      <c r="D512">
        <v>1972</v>
      </c>
      <c r="E512">
        <v>1998</v>
      </c>
      <c r="F512">
        <f>COUNTIFS($A$2:A512, A512)</f>
        <v>24</v>
      </c>
    </row>
    <row r="513" spans="1:6" x14ac:dyDescent="0.45">
      <c r="A513" t="s">
        <v>33</v>
      </c>
      <c r="B513">
        <v>1996</v>
      </c>
      <c r="C513">
        <v>0.93741806429945518</v>
      </c>
      <c r="D513">
        <v>1972</v>
      </c>
      <c r="E513">
        <v>1998</v>
      </c>
      <c r="F513">
        <f>COUNTIFS($A$2:A513, A513)</f>
        <v>25</v>
      </c>
    </row>
    <row r="514" spans="1:6" x14ac:dyDescent="0.45">
      <c r="A514" t="s">
        <v>33</v>
      </c>
      <c r="B514">
        <v>1997</v>
      </c>
      <c r="C514">
        <v>0.96470304928415951</v>
      </c>
      <c r="D514">
        <v>1972</v>
      </c>
      <c r="E514">
        <v>1998</v>
      </c>
      <c r="F514">
        <f>COUNTIFS($A$2:A514, A514)</f>
        <v>26</v>
      </c>
    </row>
    <row r="515" spans="1:6" x14ac:dyDescent="0.45">
      <c r="A515" t="s">
        <v>33</v>
      </c>
      <c r="B515">
        <v>1998</v>
      </c>
      <c r="C515">
        <v>1.0793107365817991</v>
      </c>
      <c r="D515">
        <v>1972</v>
      </c>
      <c r="E515">
        <v>1998</v>
      </c>
      <c r="F515">
        <f>COUNTIFS($A$2:A515, A515)</f>
        <v>27</v>
      </c>
    </row>
    <row r="516" spans="1:6" x14ac:dyDescent="0.45">
      <c r="A516" t="s">
        <v>34</v>
      </c>
      <c r="B516">
        <v>1989</v>
      </c>
      <c r="C516">
        <v>0.50268773203126205</v>
      </c>
      <c r="D516">
        <v>1989</v>
      </c>
      <c r="E516">
        <v>2006</v>
      </c>
      <c r="F516">
        <f>COUNTIFS($A$2:A516, A516)</f>
        <v>1</v>
      </c>
    </row>
    <row r="517" spans="1:6" x14ac:dyDescent="0.45">
      <c r="A517" t="s">
        <v>34</v>
      </c>
      <c r="B517">
        <v>1990</v>
      </c>
      <c r="C517">
        <v>0.51122587684616783</v>
      </c>
      <c r="D517">
        <v>1989</v>
      </c>
      <c r="E517">
        <v>2006</v>
      </c>
      <c r="F517">
        <f>COUNTIFS($A$2:A517, A517)</f>
        <v>2</v>
      </c>
    </row>
    <row r="518" spans="1:6" x14ac:dyDescent="0.45">
      <c r="A518" t="s">
        <v>34</v>
      </c>
      <c r="B518">
        <v>1991</v>
      </c>
      <c r="C518">
        <v>0.47427717421565269</v>
      </c>
      <c r="D518">
        <v>1989</v>
      </c>
      <c r="E518">
        <v>2006</v>
      </c>
      <c r="F518">
        <f>COUNTIFS($A$2:A518, A518)</f>
        <v>3</v>
      </c>
    </row>
    <row r="519" spans="1:6" x14ac:dyDescent="0.45">
      <c r="A519" t="s">
        <v>34</v>
      </c>
      <c r="B519">
        <v>1992</v>
      </c>
      <c r="C519">
        <v>0.47434823341548599</v>
      </c>
      <c r="D519">
        <v>1989</v>
      </c>
      <c r="E519">
        <v>2006</v>
      </c>
      <c r="F519">
        <f>COUNTIFS($A$2:A519, A519)</f>
        <v>4</v>
      </c>
    </row>
    <row r="520" spans="1:6" x14ac:dyDescent="0.45">
      <c r="A520" t="s">
        <v>34</v>
      </c>
      <c r="B520">
        <v>1993</v>
      </c>
      <c r="C520">
        <v>0.38149281794794032</v>
      </c>
      <c r="D520">
        <v>1989</v>
      </c>
      <c r="E520">
        <v>2006</v>
      </c>
      <c r="F520">
        <f>COUNTIFS($A$2:A520, A520)</f>
        <v>5</v>
      </c>
    </row>
    <row r="521" spans="1:6" x14ac:dyDescent="0.45">
      <c r="A521" t="s">
        <v>34</v>
      </c>
      <c r="B521">
        <v>1994</v>
      </c>
      <c r="C521">
        <v>0.34289051263655751</v>
      </c>
      <c r="D521">
        <v>1989</v>
      </c>
      <c r="E521">
        <v>2006</v>
      </c>
      <c r="F521">
        <f>COUNTIFS($A$2:A521, A521)</f>
        <v>6</v>
      </c>
    </row>
    <row r="522" spans="1:6" x14ac:dyDescent="0.45">
      <c r="A522" t="s">
        <v>34</v>
      </c>
      <c r="B522">
        <v>1995</v>
      </c>
      <c r="C522">
        <v>0.31324742736164868</v>
      </c>
      <c r="D522">
        <v>1989</v>
      </c>
      <c r="E522">
        <v>2006</v>
      </c>
      <c r="F522">
        <f>COUNTIFS($A$2:A522, A522)</f>
        <v>7</v>
      </c>
    </row>
    <row r="523" spans="1:6" x14ac:dyDescent="0.45">
      <c r="A523" t="s">
        <v>34</v>
      </c>
      <c r="B523">
        <v>1996</v>
      </c>
      <c r="C523">
        <v>0.31832135228372049</v>
      </c>
      <c r="D523">
        <v>1989</v>
      </c>
      <c r="E523">
        <v>2006</v>
      </c>
      <c r="F523">
        <f>COUNTIFS($A$2:A523, A523)</f>
        <v>8</v>
      </c>
    </row>
    <row r="524" spans="1:6" x14ac:dyDescent="0.45">
      <c r="A524" t="s">
        <v>34</v>
      </c>
      <c r="B524">
        <v>1997</v>
      </c>
      <c r="C524">
        <v>0.34718775191535012</v>
      </c>
      <c r="D524">
        <v>1989</v>
      </c>
      <c r="E524">
        <v>2006</v>
      </c>
      <c r="F524">
        <f>COUNTIFS($A$2:A524, A524)</f>
        <v>9</v>
      </c>
    </row>
    <row r="525" spans="1:6" x14ac:dyDescent="0.45">
      <c r="A525" t="s">
        <v>34</v>
      </c>
      <c r="B525">
        <v>1998</v>
      </c>
      <c r="C525">
        <v>0.35832938245027812</v>
      </c>
      <c r="D525">
        <v>1989</v>
      </c>
      <c r="E525">
        <v>2006</v>
      </c>
      <c r="F525">
        <f>COUNTIFS($A$2:A525, A525)</f>
        <v>10</v>
      </c>
    </row>
    <row r="526" spans="1:6" x14ac:dyDescent="0.45">
      <c r="A526" t="s">
        <v>34</v>
      </c>
      <c r="B526">
        <v>1999</v>
      </c>
      <c r="C526">
        <v>0.37432187027912289</v>
      </c>
      <c r="D526">
        <v>1989</v>
      </c>
      <c r="E526">
        <v>2006</v>
      </c>
      <c r="F526">
        <f>COUNTIFS($A$2:A526, A526)</f>
        <v>11</v>
      </c>
    </row>
    <row r="527" spans="1:6" x14ac:dyDescent="0.45">
      <c r="A527" t="s">
        <v>34</v>
      </c>
      <c r="B527">
        <v>2000</v>
      </c>
      <c r="C527">
        <v>0.39799939803427048</v>
      </c>
      <c r="D527">
        <v>1989</v>
      </c>
      <c r="E527">
        <v>2006</v>
      </c>
      <c r="F527">
        <f>COUNTIFS($A$2:A527, A527)</f>
        <v>12</v>
      </c>
    </row>
    <row r="528" spans="1:6" x14ac:dyDescent="0.45">
      <c r="A528" t="s">
        <v>34</v>
      </c>
      <c r="B528">
        <v>2001</v>
      </c>
      <c r="C528">
        <v>0.89547434522241443</v>
      </c>
      <c r="D528">
        <v>1989</v>
      </c>
      <c r="E528">
        <v>2006</v>
      </c>
      <c r="F528">
        <f>COUNTIFS($A$2:A528, A528)</f>
        <v>13</v>
      </c>
    </row>
    <row r="529" spans="1:6" x14ac:dyDescent="0.45">
      <c r="A529" t="s">
        <v>34</v>
      </c>
      <c r="B529">
        <v>2002</v>
      </c>
      <c r="C529">
        <v>0.89628767146107036</v>
      </c>
      <c r="D529">
        <v>1989</v>
      </c>
      <c r="E529">
        <v>2006</v>
      </c>
      <c r="F529">
        <f>COUNTIFS($A$2:A529, A529)</f>
        <v>14</v>
      </c>
    </row>
    <row r="530" spans="1:6" x14ac:dyDescent="0.45">
      <c r="A530" t="s">
        <v>34</v>
      </c>
      <c r="B530">
        <v>2003</v>
      </c>
      <c r="C530">
        <v>0.89911527683691106</v>
      </c>
      <c r="D530">
        <v>1989</v>
      </c>
      <c r="E530">
        <v>2006</v>
      </c>
      <c r="F530">
        <f>COUNTIFS($A$2:A530, A530)</f>
        <v>15</v>
      </c>
    </row>
    <row r="531" spans="1:6" x14ac:dyDescent="0.45">
      <c r="A531" t="s">
        <v>34</v>
      </c>
      <c r="B531">
        <v>2004</v>
      </c>
      <c r="C531">
        <v>0.91635025792767555</v>
      </c>
      <c r="D531">
        <v>1989</v>
      </c>
      <c r="E531">
        <v>2006</v>
      </c>
      <c r="F531">
        <f>COUNTIFS($A$2:A531, A531)</f>
        <v>16</v>
      </c>
    </row>
    <row r="532" spans="1:6" x14ac:dyDescent="0.45">
      <c r="A532" t="s">
        <v>34</v>
      </c>
      <c r="B532">
        <v>2005</v>
      </c>
      <c r="C532">
        <v>0.99270035089013897</v>
      </c>
      <c r="D532">
        <v>1989</v>
      </c>
      <c r="E532">
        <v>2006</v>
      </c>
      <c r="F532">
        <f>COUNTIFS($A$2:A532, A532)</f>
        <v>17</v>
      </c>
    </row>
    <row r="533" spans="1:6" x14ac:dyDescent="0.45">
      <c r="A533" t="s">
        <v>34</v>
      </c>
      <c r="B533">
        <v>2006</v>
      </c>
      <c r="C533">
        <v>1.027244595748066</v>
      </c>
      <c r="D533">
        <v>1989</v>
      </c>
      <c r="E533">
        <v>2006</v>
      </c>
      <c r="F533">
        <f>COUNTIFS($A$2:A533, A533)</f>
        <v>18</v>
      </c>
    </row>
    <row r="534" spans="1:6" x14ac:dyDescent="0.45">
      <c r="A534" t="s">
        <v>35</v>
      </c>
      <c r="B534">
        <v>1981</v>
      </c>
      <c r="C534">
        <v>0.51678538962209042</v>
      </c>
      <c r="D534">
        <v>1981</v>
      </c>
      <c r="E534">
        <v>1998</v>
      </c>
      <c r="F534">
        <f>COUNTIFS($A$2:A534, A534)</f>
        <v>1</v>
      </c>
    </row>
    <row r="535" spans="1:6" x14ac:dyDescent="0.45">
      <c r="A535" t="s">
        <v>35</v>
      </c>
      <c r="B535">
        <v>1982</v>
      </c>
      <c r="C535">
        <v>0.52794989787292479</v>
      </c>
      <c r="D535">
        <v>1981</v>
      </c>
      <c r="E535">
        <v>1998</v>
      </c>
      <c r="F535">
        <f>COUNTIFS($A$2:A535, A535)</f>
        <v>2</v>
      </c>
    </row>
    <row r="536" spans="1:6" x14ac:dyDescent="0.45">
      <c r="A536" t="s">
        <v>35</v>
      </c>
      <c r="B536">
        <v>1983</v>
      </c>
      <c r="C536">
        <v>0.54854407626611468</v>
      </c>
      <c r="D536">
        <v>1981</v>
      </c>
      <c r="E536">
        <v>1998</v>
      </c>
      <c r="F536">
        <f>COUNTIFS($A$2:A536, A536)</f>
        <v>3</v>
      </c>
    </row>
    <row r="537" spans="1:6" x14ac:dyDescent="0.45">
      <c r="A537" t="s">
        <v>35</v>
      </c>
      <c r="B537">
        <v>1984</v>
      </c>
      <c r="C537">
        <v>0.57594762443559522</v>
      </c>
      <c r="D537">
        <v>1981</v>
      </c>
      <c r="E537">
        <v>1998</v>
      </c>
      <c r="F537">
        <f>COUNTIFS($A$2:A537, A537)</f>
        <v>4</v>
      </c>
    </row>
    <row r="538" spans="1:6" x14ac:dyDescent="0.45">
      <c r="A538" t="s">
        <v>35</v>
      </c>
      <c r="B538">
        <v>1985</v>
      </c>
      <c r="C538">
        <v>0.63144843341891499</v>
      </c>
      <c r="D538">
        <v>1981</v>
      </c>
      <c r="E538">
        <v>1998</v>
      </c>
      <c r="F538">
        <f>COUNTIFS($A$2:A538, A538)</f>
        <v>5</v>
      </c>
    </row>
    <row r="539" spans="1:6" x14ac:dyDescent="0.45">
      <c r="A539" t="s">
        <v>35</v>
      </c>
      <c r="B539">
        <v>1986</v>
      </c>
      <c r="C539">
        <v>0.71586650872068813</v>
      </c>
      <c r="D539">
        <v>1981</v>
      </c>
      <c r="E539">
        <v>1998</v>
      </c>
      <c r="F539">
        <f>COUNTIFS($A$2:A539, A539)</f>
        <v>6</v>
      </c>
    </row>
    <row r="540" spans="1:6" x14ac:dyDescent="0.45">
      <c r="A540" t="s">
        <v>35</v>
      </c>
      <c r="B540">
        <v>1988</v>
      </c>
      <c r="C540">
        <v>0.68116983183740698</v>
      </c>
      <c r="D540">
        <v>1981</v>
      </c>
      <c r="E540">
        <v>1998</v>
      </c>
      <c r="F540">
        <f>COUNTIFS($A$2:A540, A540)</f>
        <v>7</v>
      </c>
    </row>
    <row r="541" spans="1:6" x14ac:dyDescent="0.45">
      <c r="A541" t="s">
        <v>35</v>
      </c>
      <c r="B541">
        <v>1989</v>
      </c>
      <c r="C541">
        <v>0.7131707190872052</v>
      </c>
      <c r="D541">
        <v>1981</v>
      </c>
      <c r="E541">
        <v>1998</v>
      </c>
      <c r="F541">
        <f>COUNTIFS($A$2:A541, A541)</f>
        <v>8</v>
      </c>
    </row>
    <row r="542" spans="1:6" x14ac:dyDescent="0.45">
      <c r="A542" t="s">
        <v>35</v>
      </c>
      <c r="B542">
        <v>1990</v>
      </c>
      <c r="C542">
        <v>0.76246487090792936</v>
      </c>
      <c r="D542">
        <v>1981</v>
      </c>
      <c r="E542">
        <v>1998</v>
      </c>
      <c r="F542">
        <f>COUNTIFS($A$2:A542, A542)</f>
        <v>9</v>
      </c>
    </row>
    <row r="543" spans="1:6" x14ac:dyDescent="0.45">
      <c r="A543" t="s">
        <v>35</v>
      </c>
      <c r="B543">
        <v>1991</v>
      </c>
      <c r="C543">
        <v>0.78085553591809864</v>
      </c>
      <c r="D543">
        <v>1981</v>
      </c>
      <c r="E543">
        <v>1998</v>
      </c>
      <c r="F543">
        <f>COUNTIFS($A$2:A543, A543)</f>
        <v>10</v>
      </c>
    </row>
    <row r="544" spans="1:6" x14ac:dyDescent="0.45">
      <c r="A544" t="s">
        <v>35</v>
      </c>
      <c r="B544">
        <v>1992</v>
      </c>
      <c r="C544">
        <v>0.79124761232883134</v>
      </c>
      <c r="D544">
        <v>1981</v>
      </c>
      <c r="E544">
        <v>1998</v>
      </c>
      <c r="F544">
        <f>COUNTIFS($A$2:A544, A544)</f>
        <v>11</v>
      </c>
    </row>
    <row r="545" spans="1:6" x14ac:dyDescent="0.45">
      <c r="A545" t="s">
        <v>35</v>
      </c>
      <c r="B545">
        <v>1993</v>
      </c>
      <c r="C545">
        <v>0.86967129499983242</v>
      </c>
      <c r="D545">
        <v>1981</v>
      </c>
      <c r="E545">
        <v>1998</v>
      </c>
      <c r="F545">
        <f>COUNTIFS($A$2:A545, A545)</f>
        <v>12</v>
      </c>
    </row>
    <row r="546" spans="1:6" x14ac:dyDescent="0.45">
      <c r="A546" t="s">
        <v>35</v>
      </c>
      <c r="B546">
        <v>1994</v>
      </c>
      <c r="C546">
        <v>0.80738785714192896</v>
      </c>
      <c r="D546">
        <v>1981</v>
      </c>
      <c r="E546">
        <v>1998</v>
      </c>
      <c r="F546">
        <f>COUNTIFS($A$2:A546, A546)</f>
        <v>13</v>
      </c>
    </row>
    <row r="547" spans="1:6" x14ac:dyDescent="0.45">
      <c r="A547" t="s">
        <v>35</v>
      </c>
      <c r="B547">
        <v>1995</v>
      </c>
      <c r="C547">
        <v>0.80558228883886074</v>
      </c>
      <c r="D547">
        <v>1981</v>
      </c>
      <c r="E547">
        <v>1998</v>
      </c>
      <c r="F547">
        <f>COUNTIFS($A$2:A547, A547)</f>
        <v>14</v>
      </c>
    </row>
    <row r="548" spans="1:6" x14ac:dyDescent="0.45">
      <c r="A548" t="s">
        <v>35</v>
      </c>
      <c r="B548">
        <v>1996</v>
      </c>
      <c r="C548">
        <v>0.87240326094136988</v>
      </c>
      <c r="D548">
        <v>1981</v>
      </c>
      <c r="E548">
        <v>1998</v>
      </c>
      <c r="F548">
        <f>COUNTIFS($A$2:A548, A548)</f>
        <v>15</v>
      </c>
    </row>
    <row r="549" spans="1:6" x14ac:dyDescent="0.45">
      <c r="A549" t="s">
        <v>35</v>
      </c>
      <c r="B549">
        <v>1997</v>
      </c>
      <c r="C549">
        <v>0.95054519756745437</v>
      </c>
      <c r="D549">
        <v>1981</v>
      </c>
      <c r="E549">
        <v>1998</v>
      </c>
      <c r="F549">
        <f>COUNTIFS($A$2:A549, A549)</f>
        <v>16</v>
      </c>
    </row>
    <row r="550" spans="1:6" x14ac:dyDescent="0.45">
      <c r="A550" t="s">
        <v>35</v>
      </c>
      <c r="B550">
        <v>1998</v>
      </c>
      <c r="C550">
        <v>1.0089026494511499</v>
      </c>
      <c r="D550">
        <v>1981</v>
      </c>
      <c r="E550">
        <v>1998</v>
      </c>
      <c r="F550">
        <f>COUNTIFS($A$2:A550, A550)</f>
        <v>17</v>
      </c>
    </row>
    <row r="551" spans="1:6" x14ac:dyDescent="0.45">
      <c r="A551" t="s">
        <v>36</v>
      </c>
      <c r="B551">
        <v>1997</v>
      </c>
      <c r="C551">
        <v>0.56202578271268755</v>
      </c>
      <c r="D551">
        <v>1997</v>
      </c>
      <c r="E551">
        <v>2015</v>
      </c>
      <c r="F551">
        <f>COUNTIFS($A$2:A551, A551)</f>
        <v>1</v>
      </c>
    </row>
    <row r="552" spans="1:6" x14ac:dyDescent="0.45">
      <c r="A552" t="s">
        <v>36</v>
      </c>
      <c r="B552">
        <v>1998</v>
      </c>
      <c r="C552">
        <v>0.55488991126323084</v>
      </c>
      <c r="D552">
        <v>1997</v>
      </c>
      <c r="E552">
        <v>2015</v>
      </c>
      <c r="F552">
        <f>COUNTIFS($A$2:A552, A552)</f>
        <v>2</v>
      </c>
    </row>
    <row r="553" spans="1:6" x14ac:dyDescent="0.45">
      <c r="A553" t="s">
        <v>36</v>
      </c>
      <c r="B553">
        <v>1999</v>
      </c>
      <c r="C553">
        <v>0.59843381598314938</v>
      </c>
      <c r="D553">
        <v>1997</v>
      </c>
      <c r="E553">
        <v>2015</v>
      </c>
      <c r="F553">
        <f>COUNTIFS($A$2:A553, A553)</f>
        <v>3</v>
      </c>
    </row>
    <row r="554" spans="1:6" x14ac:dyDescent="0.45">
      <c r="A554" t="s">
        <v>36</v>
      </c>
      <c r="B554">
        <v>2000</v>
      </c>
      <c r="C554">
        <v>0.59570334962391835</v>
      </c>
      <c r="D554">
        <v>1997</v>
      </c>
      <c r="E554">
        <v>2015</v>
      </c>
      <c r="F554">
        <f>COUNTIFS($A$2:A554, A554)</f>
        <v>4</v>
      </c>
    </row>
    <row r="555" spans="1:6" x14ac:dyDescent="0.45">
      <c r="A555" t="s">
        <v>36</v>
      </c>
      <c r="B555">
        <v>2001</v>
      </c>
      <c r="C555">
        <v>0.59487407149644189</v>
      </c>
      <c r="D555">
        <v>1997</v>
      </c>
      <c r="E555">
        <v>2015</v>
      </c>
      <c r="F555">
        <f>COUNTIFS($A$2:A555, A555)</f>
        <v>5</v>
      </c>
    </row>
    <row r="556" spans="1:6" x14ac:dyDescent="0.45">
      <c r="A556" t="s">
        <v>36</v>
      </c>
      <c r="B556">
        <v>2002</v>
      </c>
      <c r="C556">
        <v>0.6533361082814112</v>
      </c>
      <c r="D556">
        <v>1997</v>
      </c>
      <c r="E556">
        <v>2015</v>
      </c>
      <c r="F556">
        <f>COUNTIFS($A$2:A556, A556)</f>
        <v>6</v>
      </c>
    </row>
    <row r="557" spans="1:6" x14ac:dyDescent="0.45">
      <c r="A557" t="s">
        <v>36</v>
      </c>
      <c r="B557">
        <v>2003</v>
      </c>
      <c r="C557">
        <v>0.70889256247801624</v>
      </c>
      <c r="D557">
        <v>1997</v>
      </c>
      <c r="E557">
        <v>2015</v>
      </c>
      <c r="F557">
        <f>COUNTIFS($A$2:A557, A557)</f>
        <v>7</v>
      </c>
    </row>
    <row r="558" spans="1:6" x14ac:dyDescent="0.45">
      <c r="A558" t="s">
        <v>36</v>
      </c>
      <c r="B558">
        <v>2004</v>
      </c>
      <c r="C558">
        <v>0.68423853115828626</v>
      </c>
      <c r="D558">
        <v>1997</v>
      </c>
      <c r="E558">
        <v>2015</v>
      </c>
      <c r="F558">
        <f>COUNTIFS($A$2:A558, A558)</f>
        <v>8</v>
      </c>
    </row>
    <row r="559" spans="1:6" x14ac:dyDescent="0.45">
      <c r="A559" t="s">
        <v>36</v>
      </c>
      <c r="B559">
        <v>2005</v>
      </c>
      <c r="C559">
        <v>0.6600428405848412</v>
      </c>
      <c r="D559">
        <v>1997</v>
      </c>
      <c r="E559">
        <v>2015</v>
      </c>
      <c r="F559">
        <f>COUNTIFS($A$2:A559, A559)</f>
        <v>9</v>
      </c>
    </row>
    <row r="560" spans="1:6" x14ac:dyDescent="0.45">
      <c r="A560" t="s">
        <v>36</v>
      </c>
      <c r="B560">
        <v>2006</v>
      </c>
      <c r="C560">
        <v>0.67361436932553009</v>
      </c>
      <c r="D560">
        <v>1997</v>
      </c>
      <c r="E560">
        <v>2015</v>
      </c>
      <c r="F560">
        <f>COUNTIFS($A$2:A560, A560)</f>
        <v>10</v>
      </c>
    </row>
    <row r="561" spans="1:6" x14ac:dyDescent="0.45">
      <c r="A561" t="s">
        <v>36</v>
      </c>
      <c r="B561">
        <v>2007</v>
      </c>
      <c r="C561">
        <v>0.69720803297313916</v>
      </c>
      <c r="D561">
        <v>1997</v>
      </c>
      <c r="E561">
        <v>2015</v>
      </c>
      <c r="F561">
        <f>COUNTIFS($A$2:A561, A561)</f>
        <v>11</v>
      </c>
    </row>
    <row r="562" spans="1:6" x14ac:dyDescent="0.45">
      <c r="A562" t="s">
        <v>36</v>
      </c>
      <c r="B562">
        <v>2008</v>
      </c>
      <c r="C562">
        <v>0.66822755998971783</v>
      </c>
      <c r="D562">
        <v>1997</v>
      </c>
      <c r="E562">
        <v>2015</v>
      </c>
      <c r="F562">
        <f>COUNTIFS($A$2:A562, A562)</f>
        <v>12</v>
      </c>
    </row>
    <row r="563" spans="1:6" x14ac:dyDescent="0.45">
      <c r="A563" t="s">
        <v>36</v>
      </c>
      <c r="B563">
        <v>2009</v>
      </c>
      <c r="C563">
        <v>0.78947004699794177</v>
      </c>
      <c r="D563">
        <v>1997</v>
      </c>
      <c r="E563">
        <v>2015</v>
      </c>
      <c r="F563">
        <f>COUNTIFS($A$2:A563, A563)</f>
        <v>13</v>
      </c>
    </row>
    <row r="564" spans="1:6" x14ac:dyDescent="0.45">
      <c r="A564" t="s">
        <v>36</v>
      </c>
      <c r="B564">
        <v>2010</v>
      </c>
      <c r="C564">
        <v>0.80563038800551323</v>
      </c>
      <c r="D564">
        <v>1997</v>
      </c>
      <c r="E564">
        <v>2015</v>
      </c>
      <c r="F564">
        <f>COUNTIFS($A$2:A564, A564)</f>
        <v>14</v>
      </c>
    </row>
    <row r="565" spans="1:6" x14ac:dyDescent="0.45">
      <c r="A565" t="s">
        <v>36</v>
      </c>
      <c r="B565">
        <v>2011</v>
      </c>
      <c r="C565">
        <v>0.81570778763429852</v>
      </c>
      <c r="D565">
        <v>1997</v>
      </c>
      <c r="E565">
        <v>2015</v>
      </c>
      <c r="F565">
        <f>COUNTIFS($A$2:A565, A565)</f>
        <v>15</v>
      </c>
    </row>
    <row r="566" spans="1:6" x14ac:dyDescent="0.45">
      <c r="A566" t="s">
        <v>36</v>
      </c>
      <c r="B566">
        <v>2012</v>
      </c>
      <c r="C566">
        <v>0.872211456379822</v>
      </c>
      <c r="D566">
        <v>1997</v>
      </c>
      <c r="E566">
        <v>2015</v>
      </c>
      <c r="F566">
        <f>COUNTIFS($A$2:A566, A566)</f>
        <v>16</v>
      </c>
    </row>
    <row r="567" spans="1:6" x14ac:dyDescent="0.45">
      <c r="A567" t="s">
        <v>36</v>
      </c>
      <c r="B567">
        <v>2013</v>
      </c>
      <c r="C567">
        <v>0.92936106122246542</v>
      </c>
      <c r="D567">
        <v>1997</v>
      </c>
      <c r="E567">
        <v>2015</v>
      </c>
      <c r="F567">
        <f>COUNTIFS($A$2:A567, A567)</f>
        <v>17</v>
      </c>
    </row>
    <row r="568" spans="1:6" x14ac:dyDescent="0.45">
      <c r="A568" t="s">
        <v>36</v>
      </c>
      <c r="B568">
        <v>2014</v>
      </c>
      <c r="C568">
        <v>0.9864467668340271</v>
      </c>
      <c r="D568">
        <v>1997</v>
      </c>
      <c r="E568">
        <v>2015</v>
      </c>
      <c r="F568">
        <f>COUNTIFS($A$2:A568, A568)</f>
        <v>18</v>
      </c>
    </row>
    <row r="569" spans="1:6" x14ac:dyDescent="0.45">
      <c r="A569" t="s">
        <v>36</v>
      </c>
      <c r="B569">
        <v>2015</v>
      </c>
      <c r="C569">
        <v>1.096024414607037</v>
      </c>
      <c r="D569">
        <v>1997</v>
      </c>
      <c r="E569">
        <v>2015</v>
      </c>
      <c r="F569">
        <f>COUNTIFS($A$2:A569, A569)</f>
        <v>19</v>
      </c>
    </row>
    <row r="570" spans="1:6" x14ac:dyDescent="0.45">
      <c r="A570" t="s">
        <v>37</v>
      </c>
      <c r="B570">
        <v>2004</v>
      </c>
      <c r="C570">
        <v>0.58722430788458657</v>
      </c>
      <c r="D570">
        <v>2004</v>
      </c>
      <c r="E570">
        <v>2009</v>
      </c>
      <c r="F570">
        <f>COUNTIFS($A$2:A570, A570)</f>
        <v>1</v>
      </c>
    </row>
    <row r="571" spans="1:6" x14ac:dyDescent="0.45">
      <c r="A571" t="s">
        <v>37</v>
      </c>
      <c r="B571">
        <v>2005</v>
      </c>
      <c r="C571">
        <v>0.60466787782507891</v>
      </c>
      <c r="D571">
        <v>2004</v>
      </c>
      <c r="E571">
        <v>2009</v>
      </c>
      <c r="F571">
        <f>COUNTIFS($A$2:A571, A571)</f>
        <v>2</v>
      </c>
    </row>
    <row r="572" spans="1:6" x14ac:dyDescent="0.45">
      <c r="A572" t="s">
        <v>37</v>
      </c>
      <c r="B572">
        <v>2006</v>
      </c>
      <c r="C572">
        <v>0.65359542373759494</v>
      </c>
      <c r="D572">
        <v>2004</v>
      </c>
      <c r="E572">
        <v>2009</v>
      </c>
      <c r="F572">
        <f>COUNTIFS($A$2:A572, A572)</f>
        <v>3</v>
      </c>
    </row>
    <row r="573" spans="1:6" x14ac:dyDescent="0.45">
      <c r="A573" t="s">
        <v>37</v>
      </c>
      <c r="B573">
        <v>2007</v>
      </c>
      <c r="C573">
        <v>0.85639687383950036</v>
      </c>
      <c r="D573">
        <v>2004</v>
      </c>
      <c r="E573">
        <v>2009</v>
      </c>
      <c r="F573">
        <f>COUNTIFS($A$2:A573, A573)</f>
        <v>4</v>
      </c>
    </row>
    <row r="574" spans="1:6" x14ac:dyDescent="0.45">
      <c r="A574" t="s">
        <v>37</v>
      </c>
      <c r="B574">
        <v>2008</v>
      </c>
      <c r="C574">
        <v>0.82872770965200881</v>
      </c>
      <c r="D574">
        <v>2004</v>
      </c>
      <c r="E574">
        <v>2009</v>
      </c>
      <c r="F574">
        <f>COUNTIFS($A$2:A574, A574)</f>
        <v>5</v>
      </c>
    </row>
    <row r="575" spans="1:6" x14ac:dyDescent="0.45">
      <c r="A575" t="s">
        <v>37</v>
      </c>
      <c r="B575">
        <v>2009</v>
      </c>
      <c r="C575">
        <v>1.0332235376964529</v>
      </c>
      <c r="D575">
        <v>2004</v>
      </c>
      <c r="E575">
        <v>2009</v>
      </c>
      <c r="F575">
        <f>COUNTIFS($A$2:A575, A575)</f>
        <v>6</v>
      </c>
    </row>
    <row r="576" spans="1:6" x14ac:dyDescent="0.45">
      <c r="A576" t="s">
        <v>38</v>
      </c>
      <c r="B576">
        <v>1965</v>
      </c>
      <c r="C576">
        <v>0.58716657739689337</v>
      </c>
      <c r="D576">
        <v>1965</v>
      </c>
      <c r="E576">
        <v>1994</v>
      </c>
      <c r="F576">
        <f>COUNTIFS($A$2:A576, A576)</f>
        <v>1</v>
      </c>
    </row>
    <row r="577" spans="1:6" x14ac:dyDescent="0.45">
      <c r="A577" t="s">
        <v>38</v>
      </c>
      <c r="B577">
        <v>1966</v>
      </c>
      <c r="C577">
        <v>0.57402718943946407</v>
      </c>
      <c r="D577">
        <v>1965</v>
      </c>
      <c r="E577">
        <v>1994</v>
      </c>
      <c r="F577">
        <f>COUNTIFS($A$2:A577, A577)</f>
        <v>2</v>
      </c>
    </row>
    <row r="578" spans="1:6" x14ac:dyDescent="0.45">
      <c r="A578" t="s">
        <v>38</v>
      </c>
      <c r="B578">
        <v>1967</v>
      </c>
      <c r="C578">
        <v>0.56836563136005658</v>
      </c>
      <c r="D578">
        <v>1965</v>
      </c>
      <c r="E578">
        <v>1994</v>
      </c>
      <c r="F578">
        <f>COUNTIFS($A$2:A578, A578)</f>
        <v>3</v>
      </c>
    </row>
    <row r="579" spans="1:6" x14ac:dyDescent="0.45">
      <c r="A579" t="s">
        <v>38</v>
      </c>
      <c r="B579">
        <v>1968</v>
      </c>
      <c r="C579">
        <v>0.54801340745585347</v>
      </c>
      <c r="D579">
        <v>1965</v>
      </c>
      <c r="E579">
        <v>1994</v>
      </c>
      <c r="F579">
        <f>COUNTIFS($A$2:A579, A579)</f>
        <v>4</v>
      </c>
    </row>
    <row r="580" spans="1:6" x14ac:dyDescent="0.45">
      <c r="A580" t="s">
        <v>38</v>
      </c>
      <c r="B580">
        <v>1969</v>
      </c>
      <c r="C580">
        <v>0.56189022173754999</v>
      </c>
      <c r="D580">
        <v>1965</v>
      </c>
      <c r="E580">
        <v>1994</v>
      </c>
      <c r="F580">
        <f>COUNTIFS($A$2:A580, A580)</f>
        <v>5</v>
      </c>
    </row>
    <row r="581" spans="1:6" x14ac:dyDescent="0.45">
      <c r="A581" t="s">
        <v>38</v>
      </c>
      <c r="B581">
        <v>1970</v>
      </c>
      <c r="C581">
        <v>0.57638229084191084</v>
      </c>
      <c r="D581">
        <v>1965</v>
      </c>
      <c r="E581">
        <v>1994</v>
      </c>
      <c r="F581">
        <f>COUNTIFS($A$2:A581, A581)</f>
        <v>6</v>
      </c>
    </row>
    <row r="582" spans="1:6" x14ac:dyDescent="0.45">
      <c r="A582" t="s">
        <v>38</v>
      </c>
      <c r="B582">
        <v>1971</v>
      </c>
      <c r="C582">
        <v>0.58124104156712852</v>
      </c>
      <c r="D582">
        <v>1965</v>
      </c>
      <c r="E582">
        <v>1994</v>
      </c>
      <c r="F582">
        <f>COUNTIFS($A$2:A582, A582)</f>
        <v>7</v>
      </c>
    </row>
    <row r="583" spans="1:6" x14ac:dyDescent="0.45">
      <c r="A583" t="s">
        <v>38</v>
      </c>
      <c r="B583">
        <v>1972</v>
      </c>
      <c r="C583">
        <v>0.57208691499522446</v>
      </c>
      <c r="D583">
        <v>1965</v>
      </c>
      <c r="E583">
        <v>1994</v>
      </c>
      <c r="F583">
        <f>COUNTIFS($A$2:A583, A583)</f>
        <v>8</v>
      </c>
    </row>
    <row r="584" spans="1:6" x14ac:dyDescent="0.45">
      <c r="A584" t="s">
        <v>38</v>
      </c>
      <c r="B584">
        <v>1973</v>
      </c>
      <c r="C584">
        <v>0.5794372481913096</v>
      </c>
      <c r="D584">
        <v>1965</v>
      </c>
      <c r="E584">
        <v>1994</v>
      </c>
      <c r="F584">
        <f>COUNTIFS($A$2:A584, A584)</f>
        <v>9</v>
      </c>
    </row>
    <row r="585" spans="1:6" x14ac:dyDescent="0.45">
      <c r="A585" t="s">
        <v>38</v>
      </c>
      <c r="B585">
        <v>1974</v>
      </c>
      <c r="C585">
        <v>0.5501493439533478</v>
      </c>
      <c r="D585">
        <v>1965</v>
      </c>
      <c r="E585">
        <v>1994</v>
      </c>
      <c r="F585">
        <f>COUNTIFS($A$2:A585, A585)</f>
        <v>10</v>
      </c>
    </row>
    <row r="586" spans="1:6" x14ac:dyDescent="0.45">
      <c r="A586" t="s">
        <v>38</v>
      </c>
      <c r="B586">
        <v>1975</v>
      </c>
      <c r="C586">
        <v>0.5669019855026789</v>
      </c>
      <c r="D586">
        <v>1965</v>
      </c>
      <c r="E586">
        <v>1994</v>
      </c>
      <c r="F586">
        <f>COUNTIFS($A$2:A586, A586)</f>
        <v>11</v>
      </c>
    </row>
    <row r="587" spans="1:6" x14ac:dyDescent="0.45">
      <c r="A587" t="s">
        <v>38</v>
      </c>
      <c r="B587">
        <v>1976</v>
      </c>
      <c r="C587">
        <v>0.54732694296174156</v>
      </c>
      <c r="D587">
        <v>1965</v>
      </c>
      <c r="E587">
        <v>1994</v>
      </c>
      <c r="F587">
        <f>COUNTIFS($A$2:A587, A587)</f>
        <v>12</v>
      </c>
    </row>
    <row r="588" spans="1:6" x14ac:dyDescent="0.45">
      <c r="A588" t="s">
        <v>38</v>
      </c>
      <c r="B588">
        <v>1977</v>
      </c>
      <c r="C588">
        <v>0.53874822407144307</v>
      </c>
      <c r="D588">
        <v>1965</v>
      </c>
      <c r="E588">
        <v>1994</v>
      </c>
      <c r="F588">
        <f>COUNTIFS($A$2:A588, A588)</f>
        <v>13</v>
      </c>
    </row>
    <row r="589" spans="1:6" x14ac:dyDescent="0.45">
      <c r="A589" t="s">
        <v>38</v>
      </c>
      <c r="B589">
        <v>1978</v>
      </c>
      <c r="C589">
        <v>0.5340694357785899</v>
      </c>
      <c r="D589">
        <v>1965</v>
      </c>
      <c r="E589">
        <v>1994</v>
      </c>
      <c r="F589">
        <f>COUNTIFS($A$2:A589, A589)</f>
        <v>14</v>
      </c>
    </row>
    <row r="590" spans="1:6" x14ac:dyDescent="0.45">
      <c r="A590" t="s">
        <v>38</v>
      </c>
      <c r="B590">
        <v>1979</v>
      </c>
      <c r="C590">
        <v>0.52068010550113042</v>
      </c>
      <c r="D590">
        <v>1965</v>
      </c>
      <c r="E590">
        <v>1994</v>
      </c>
      <c r="F590">
        <f>COUNTIFS($A$2:A590, A590)</f>
        <v>15</v>
      </c>
    </row>
    <row r="591" spans="1:6" x14ac:dyDescent="0.45">
      <c r="A591" t="s">
        <v>38</v>
      </c>
      <c r="B591">
        <v>1980</v>
      </c>
      <c r="C591">
        <v>0.50085299481597423</v>
      </c>
      <c r="D591">
        <v>1965</v>
      </c>
      <c r="E591">
        <v>1994</v>
      </c>
      <c r="F591">
        <f>COUNTIFS($A$2:A591, A591)</f>
        <v>16</v>
      </c>
    </row>
    <row r="592" spans="1:6" x14ac:dyDescent="0.45">
      <c r="A592" t="s">
        <v>38</v>
      </c>
      <c r="B592">
        <v>1981</v>
      </c>
      <c r="C592">
        <v>0.53922117960826532</v>
      </c>
      <c r="D592">
        <v>1965</v>
      </c>
      <c r="E592">
        <v>1994</v>
      </c>
      <c r="F592">
        <f>COUNTIFS($A$2:A592, A592)</f>
        <v>17</v>
      </c>
    </row>
    <row r="593" spans="1:6" x14ac:dyDescent="0.45">
      <c r="A593" t="s">
        <v>38</v>
      </c>
      <c r="B593">
        <v>1982</v>
      </c>
      <c r="C593">
        <v>0.55294823963291739</v>
      </c>
      <c r="D593">
        <v>1965</v>
      </c>
      <c r="E593">
        <v>1994</v>
      </c>
      <c r="F593">
        <f>COUNTIFS($A$2:A593, A593)</f>
        <v>18</v>
      </c>
    </row>
    <row r="594" spans="1:6" x14ac:dyDescent="0.45">
      <c r="A594" t="s">
        <v>38</v>
      </c>
      <c r="B594">
        <v>1983</v>
      </c>
      <c r="C594">
        <v>0.5884009292691802</v>
      </c>
      <c r="D594">
        <v>1965</v>
      </c>
      <c r="E594">
        <v>1994</v>
      </c>
      <c r="F594">
        <f>COUNTIFS($A$2:A594, A594)</f>
        <v>19</v>
      </c>
    </row>
    <row r="595" spans="1:6" x14ac:dyDescent="0.45">
      <c r="A595" t="s">
        <v>38</v>
      </c>
      <c r="B595">
        <v>1984</v>
      </c>
      <c r="C595">
        <v>0.61759566158441626</v>
      </c>
      <c r="D595">
        <v>1965</v>
      </c>
      <c r="E595">
        <v>1994</v>
      </c>
      <c r="F595">
        <f>COUNTIFS($A$2:A595, A595)</f>
        <v>20</v>
      </c>
    </row>
    <row r="596" spans="1:6" x14ac:dyDescent="0.45">
      <c r="A596" t="s">
        <v>38</v>
      </c>
      <c r="B596">
        <v>1985</v>
      </c>
      <c r="C596">
        <v>0.65197690363986938</v>
      </c>
      <c r="D596">
        <v>1965</v>
      </c>
      <c r="E596">
        <v>1994</v>
      </c>
      <c r="F596">
        <f>COUNTIFS($A$2:A596, A596)</f>
        <v>21</v>
      </c>
    </row>
    <row r="597" spans="1:6" x14ac:dyDescent="0.45">
      <c r="A597" t="s">
        <v>38</v>
      </c>
      <c r="B597">
        <v>1986</v>
      </c>
      <c r="C597">
        <v>0.64857384051832145</v>
      </c>
      <c r="D597">
        <v>1965</v>
      </c>
      <c r="E597">
        <v>1994</v>
      </c>
      <c r="F597">
        <f>COUNTIFS($A$2:A597, A597)</f>
        <v>22</v>
      </c>
    </row>
    <row r="598" spans="1:6" x14ac:dyDescent="0.45">
      <c r="A598" t="s">
        <v>38</v>
      </c>
      <c r="B598">
        <v>1987</v>
      </c>
      <c r="C598">
        <v>0.65225413380819131</v>
      </c>
      <c r="D598">
        <v>1965</v>
      </c>
      <c r="E598">
        <v>1994</v>
      </c>
      <c r="F598">
        <f>COUNTIFS($A$2:A598, A598)</f>
        <v>23</v>
      </c>
    </row>
    <row r="599" spans="1:6" x14ac:dyDescent="0.45">
      <c r="A599" t="s">
        <v>38</v>
      </c>
      <c r="B599">
        <v>1988</v>
      </c>
      <c r="C599">
        <v>0.66753346193546204</v>
      </c>
      <c r="D599">
        <v>1965</v>
      </c>
      <c r="E599">
        <v>1994</v>
      </c>
      <c r="F599">
        <f>COUNTIFS($A$2:A599, A599)</f>
        <v>24</v>
      </c>
    </row>
    <row r="600" spans="1:6" x14ac:dyDescent="0.45">
      <c r="A600" t="s">
        <v>38</v>
      </c>
      <c r="B600">
        <v>1989</v>
      </c>
      <c r="C600">
        <v>0.69140792886254165</v>
      </c>
      <c r="D600">
        <v>1965</v>
      </c>
      <c r="E600">
        <v>1994</v>
      </c>
      <c r="F600">
        <f>COUNTIFS($A$2:A600, A600)</f>
        <v>25</v>
      </c>
    </row>
    <row r="601" spans="1:6" x14ac:dyDescent="0.45">
      <c r="A601" t="s">
        <v>38</v>
      </c>
      <c r="B601">
        <v>1990</v>
      </c>
      <c r="C601">
        <v>0.71938198922505647</v>
      </c>
      <c r="D601">
        <v>1965</v>
      </c>
      <c r="E601">
        <v>1994</v>
      </c>
      <c r="F601">
        <f>COUNTIFS($A$2:A601, A601)</f>
        <v>26</v>
      </c>
    </row>
    <row r="602" spans="1:6" x14ac:dyDescent="0.45">
      <c r="A602" t="s">
        <v>38</v>
      </c>
      <c r="B602">
        <v>1992</v>
      </c>
      <c r="C602">
        <v>0.90983076724859879</v>
      </c>
      <c r="D602">
        <v>1965</v>
      </c>
      <c r="E602">
        <v>1994</v>
      </c>
      <c r="F602">
        <f>COUNTIFS($A$2:A602, A602)</f>
        <v>27</v>
      </c>
    </row>
    <row r="603" spans="1:6" x14ac:dyDescent="0.45">
      <c r="A603" t="s">
        <v>38</v>
      </c>
      <c r="B603">
        <v>1993</v>
      </c>
      <c r="C603">
        <v>0.9582825572459589</v>
      </c>
      <c r="D603">
        <v>1965</v>
      </c>
      <c r="E603">
        <v>1994</v>
      </c>
      <c r="F603">
        <f>COUNTIFS($A$2:A603, A603)</f>
        <v>28</v>
      </c>
    </row>
    <row r="604" spans="1:6" x14ac:dyDescent="0.45">
      <c r="A604" t="s">
        <v>38</v>
      </c>
      <c r="B604">
        <v>1994</v>
      </c>
      <c r="C604">
        <v>1.0105860317314681</v>
      </c>
      <c r="D604">
        <v>1965</v>
      </c>
      <c r="E604">
        <v>1994</v>
      </c>
      <c r="F604">
        <f>COUNTIFS($A$2:A604, A604)</f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569F7-2896-4B99-A892-DCA1CE4E1226}">
  <dimension ref="A4:AM38"/>
  <sheetViews>
    <sheetView tabSelected="1" topLeftCell="B13" zoomScale="90" zoomScaleNormal="90" workbookViewId="0">
      <selection activeCell="O33" sqref="O33"/>
    </sheetView>
  </sheetViews>
  <sheetFormatPr defaultRowHeight="14.25" x14ac:dyDescent="0.45"/>
  <sheetData>
    <row r="4" spans="1:39" x14ac:dyDescent="0.45">
      <c r="C4" t="s">
        <v>41</v>
      </c>
      <c r="D4" t="s">
        <v>40</v>
      </c>
      <c r="E4">
        <v>0</v>
      </c>
      <c r="F4">
        <v>1</v>
      </c>
      <c r="G4">
        <v>2</v>
      </c>
      <c r="H4">
        <v>3</v>
      </c>
      <c r="I4">
        <v>4</v>
      </c>
      <c r="J4">
        <v>5</v>
      </c>
      <c r="K4">
        <v>6</v>
      </c>
      <c r="L4">
        <v>7</v>
      </c>
      <c r="M4">
        <v>8</v>
      </c>
      <c r="N4">
        <v>9</v>
      </c>
      <c r="O4">
        <v>10</v>
      </c>
      <c r="P4">
        <v>11</v>
      </c>
      <c r="Q4">
        <v>12</v>
      </c>
      <c r="R4">
        <v>13</v>
      </c>
      <c r="S4">
        <v>14</v>
      </c>
      <c r="T4">
        <v>15</v>
      </c>
      <c r="U4">
        <v>16</v>
      </c>
      <c r="V4">
        <v>17</v>
      </c>
      <c r="W4">
        <v>18</v>
      </c>
      <c r="X4">
        <v>19</v>
      </c>
      <c r="Y4">
        <v>20</v>
      </c>
      <c r="Z4">
        <v>21</v>
      </c>
      <c r="AA4">
        <v>22</v>
      </c>
      <c r="AB4">
        <v>23</v>
      </c>
      <c r="AC4">
        <v>24</v>
      </c>
      <c r="AD4">
        <v>25</v>
      </c>
      <c r="AE4">
        <v>26</v>
      </c>
      <c r="AF4">
        <v>27</v>
      </c>
      <c r="AG4">
        <v>28</v>
      </c>
      <c r="AH4">
        <v>29</v>
      </c>
      <c r="AI4">
        <v>30</v>
      </c>
      <c r="AJ4">
        <v>31</v>
      </c>
      <c r="AK4">
        <v>32</v>
      </c>
      <c r="AL4">
        <v>33</v>
      </c>
      <c r="AM4">
        <v>34</v>
      </c>
    </row>
    <row r="5" spans="1:39" x14ac:dyDescent="0.45">
      <c r="A5" t="str">
        <f>VLOOKUP(B5,Setup!$B$3:$C$267,2,FALSE)</f>
        <v>Estonia</v>
      </c>
      <c r="B5" t="s">
        <v>11</v>
      </c>
      <c r="C5">
        <f>COUNT(E5:AM5)</f>
        <v>5</v>
      </c>
      <c r="D5" t="s">
        <v>344</v>
      </c>
      <c r="E5">
        <v>0.56573908711533671</v>
      </c>
      <c r="F5">
        <v>0.76224565278598466</v>
      </c>
      <c r="G5">
        <v>0.83747613043474811</v>
      </c>
      <c r="H5">
        <v>0.89668872626034357</v>
      </c>
      <c r="I5">
        <v>1.0138303498408141</v>
      </c>
    </row>
    <row r="6" spans="1:39" x14ac:dyDescent="0.45">
      <c r="A6" t="str">
        <f>VLOOKUP(B6,Setup!$B$3:$C$267,2,FALSE)</f>
        <v>Cambodia</v>
      </c>
      <c r="B6" t="s">
        <v>19</v>
      </c>
      <c r="C6">
        <f>COUNT(E6:AM6)</f>
        <v>6</v>
      </c>
      <c r="D6" t="s">
        <v>395</v>
      </c>
      <c r="E6">
        <v>0.55489547672368578</v>
      </c>
      <c r="F6">
        <v>0.6156088863701592</v>
      </c>
      <c r="G6">
        <v>0.6546272053235479</v>
      </c>
      <c r="H6">
        <v>0.73816426973472704</v>
      </c>
      <c r="I6">
        <v>0.84323673857974912</v>
      </c>
      <c r="J6">
        <v>1.037327699600874</v>
      </c>
    </row>
    <row r="7" spans="1:39" x14ac:dyDescent="0.45">
      <c r="A7" t="str">
        <f>VLOOKUP(B7,Setup!$B$3:$C$267,2,FALSE)</f>
        <v>Malaysia</v>
      </c>
      <c r="B7" t="s">
        <v>28</v>
      </c>
      <c r="C7">
        <f>COUNT(E7:AM7)</f>
        <v>6</v>
      </c>
      <c r="D7" t="s">
        <v>441</v>
      </c>
      <c r="E7">
        <v>0.57761442729939427</v>
      </c>
      <c r="F7">
        <v>0.62732928184612691</v>
      </c>
      <c r="G7">
        <v>0.69926892283232067</v>
      </c>
      <c r="H7">
        <v>0.74890131992457587</v>
      </c>
      <c r="I7">
        <v>0.88174648250935828</v>
      </c>
      <c r="J7">
        <v>1.014660446406124</v>
      </c>
    </row>
    <row r="8" spans="1:39" x14ac:dyDescent="0.45">
      <c r="A8" t="str">
        <f>VLOOKUP(B8,Setup!$B$3:$C$267,2,FALSE)</f>
        <v>Viet Nam</v>
      </c>
      <c r="B8" t="s">
        <v>37</v>
      </c>
      <c r="C8">
        <f>COUNT(E8:AM8)</f>
        <v>6</v>
      </c>
      <c r="D8" t="s">
        <v>540</v>
      </c>
      <c r="E8">
        <v>0.58722430788458657</v>
      </c>
      <c r="F8">
        <v>0.60466787782507891</v>
      </c>
      <c r="G8">
        <v>0.65359542373759494</v>
      </c>
      <c r="H8">
        <v>0.85639687383950036</v>
      </c>
      <c r="I8">
        <v>0.82872770965200881</v>
      </c>
      <c r="J8">
        <v>1.0332235376964529</v>
      </c>
    </row>
    <row r="9" spans="1:39" x14ac:dyDescent="0.45">
      <c r="A9" t="str">
        <f>VLOOKUP(B9,Setup!$B$3:$C$267,2,FALSE)</f>
        <v>Iceland</v>
      </c>
      <c r="B9" t="s">
        <v>18</v>
      </c>
      <c r="C9">
        <f>COUNT(E9:AM9)</f>
        <v>6</v>
      </c>
      <c r="D9" t="s">
        <v>386</v>
      </c>
      <c r="E9">
        <v>0.63789220262941726</v>
      </c>
      <c r="F9">
        <v>0.61405869678169789</v>
      </c>
      <c r="G9">
        <v>0.69988926929005313</v>
      </c>
      <c r="H9">
        <v>0.92357949748270007</v>
      </c>
      <c r="I9">
        <v>0.94088912065708352</v>
      </c>
      <c r="J9">
        <v>0.99511216813059533</v>
      </c>
    </row>
    <row r="10" spans="1:39" x14ac:dyDescent="0.45">
      <c r="A10" t="str">
        <f>VLOOKUP(B10,Setup!$B$3:$C$267,2,FALSE)</f>
        <v>Korea, Rep.</v>
      </c>
      <c r="B10" t="s">
        <v>20</v>
      </c>
      <c r="C10">
        <f>COUNT(E10:AM10)</f>
        <v>6</v>
      </c>
      <c r="D10" t="s">
        <v>539</v>
      </c>
      <c r="E10">
        <v>0.50146287165566039</v>
      </c>
      <c r="F10">
        <v>0.54801784828600075</v>
      </c>
      <c r="G10">
        <v>0.59608694098226811</v>
      </c>
      <c r="H10">
        <v>0.64488125567533716</v>
      </c>
      <c r="I10">
        <v>0.69186672361226909</v>
      </c>
      <c r="J10">
        <v>0.99608241094077699</v>
      </c>
    </row>
    <row r="11" spans="1:39" x14ac:dyDescent="0.45">
      <c r="A11" t="str">
        <f>VLOOKUP(B11,Setup!$B$3:$C$267,2,FALSE)</f>
        <v>OECD members</v>
      </c>
      <c r="B11" t="s">
        <v>30</v>
      </c>
      <c r="C11">
        <f>COUNT(E11:AM11)</f>
        <v>9</v>
      </c>
      <c r="D11" t="s">
        <v>453</v>
      </c>
      <c r="E11">
        <v>0.59576268576955893</v>
      </c>
      <c r="F11">
        <v>0.62730371332676249</v>
      </c>
      <c r="G11">
        <v>0.77800863943345222</v>
      </c>
      <c r="H11">
        <v>0.81537962241239514</v>
      </c>
      <c r="I11">
        <v>0.87101995973744484</v>
      </c>
      <c r="J11">
        <v>0.89234076647779215</v>
      </c>
      <c r="K11">
        <v>0.9342102948846589</v>
      </c>
      <c r="L11">
        <v>0.95369281205308876</v>
      </c>
      <c r="M11">
        <v>1.008717288764053</v>
      </c>
    </row>
    <row r="12" spans="1:39" x14ac:dyDescent="0.45">
      <c r="A12" t="str">
        <f>VLOOKUP(B12,Setup!$B$3:$C$267,2,FALSE)</f>
        <v>Greece</v>
      </c>
      <c r="B12" t="s">
        <v>14</v>
      </c>
      <c r="C12">
        <f>COUNT(E12:AM12)</f>
        <v>10</v>
      </c>
      <c r="D12" t="s">
        <v>362</v>
      </c>
      <c r="E12">
        <v>0.51696591000447067</v>
      </c>
      <c r="F12">
        <v>0.54871832741520321</v>
      </c>
      <c r="G12">
        <v>0.58731960937714545</v>
      </c>
      <c r="H12">
        <v>0.63877542809832655</v>
      </c>
      <c r="I12">
        <v>0.7365739571979808</v>
      </c>
      <c r="J12">
        <v>0.77545437417718599</v>
      </c>
      <c r="K12">
        <v>0.85798423742853747</v>
      </c>
      <c r="L12">
        <v>0.90507313655528487</v>
      </c>
      <c r="M12">
        <v>0.89224425156619969</v>
      </c>
      <c r="N12">
        <v>1.128142773368531</v>
      </c>
    </row>
    <row r="13" spans="1:39" x14ac:dyDescent="0.45">
      <c r="A13" t="str">
        <f>VLOOKUP(B13,Setup!$B$3:$C$267,2,FALSE)</f>
        <v>Brazil</v>
      </c>
      <c r="B13" t="s">
        <v>6</v>
      </c>
      <c r="C13">
        <f>COUNT(E13:AM13)</f>
        <v>12</v>
      </c>
      <c r="D13" t="s">
        <v>302</v>
      </c>
      <c r="E13">
        <v>0.52595593886279046</v>
      </c>
      <c r="F13">
        <v>0.54468794976741619</v>
      </c>
      <c r="G13">
        <v>0.54392780964823195</v>
      </c>
      <c r="H13">
        <v>0.50425107350479936</v>
      </c>
      <c r="I13">
        <v>0.51012910632825104</v>
      </c>
      <c r="J13">
        <v>0.42053738281601949</v>
      </c>
      <c r="K13">
        <v>0.44691433818360049</v>
      </c>
      <c r="L13">
        <v>0.45652572338875991</v>
      </c>
      <c r="M13">
        <v>0.50476140831232341</v>
      </c>
      <c r="N13">
        <v>0.50393230092926522</v>
      </c>
      <c r="O13">
        <v>0.44245833386532002</v>
      </c>
      <c r="P13">
        <v>1.053910076460898</v>
      </c>
    </row>
    <row r="14" spans="1:39" x14ac:dyDescent="0.45">
      <c r="A14" t="str">
        <f>VLOOKUP(B14,Setup!$B$3:$C$267,2,FALSE)</f>
        <v>High income</v>
      </c>
      <c r="B14" t="s">
        <v>15</v>
      </c>
      <c r="C14">
        <f>COUNT(E14:AM14)</f>
        <v>12</v>
      </c>
      <c r="D14" t="s">
        <v>368</v>
      </c>
      <c r="E14">
        <v>0.59566198142174664</v>
      </c>
      <c r="F14">
        <v>0.62709508746303966</v>
      </c>
      <c r="G14">
        <v>0.63352524775379104</v>
      </c>
      <c r="H14">
        <v>0.77510483742144232</v>
      </c>
      <c r="I14">
        <v>0.81130872964307021</v>
      </c>
      <c r="J14">
        <v>0.86629680130370912</v>
      </c>
      <c r="K14">
        <v>0.83777606154099815</v>
      </c>
      <c r="L14">
        <v>0.87168824468182027</v>
      </c>
      <c r="M14">
        <v>0.91741683932445905</v>
      </c>
      <c r="N14">
        <v>0.93856909918730169</v>
      </c>
      <c r="O14">
        <v>0.9952545276758693</v>
      </c>
      <c r="P14">
        <v>1.096207220762961</v>
      </c>
    </row>
    <row r="15" spans="1:39" x14ac:dyDescent="0.45">
      <c r="A15" t="str">
        <f>VLOOKUP(B15,Setup!$B$3:$C$267,2,FALSE)</f>
        <v>Post-demographic dividend</v>
      </c>
      <c r="B15" t="s">
        <v>31</v>
      </c>
      <c r="C15">
        <f>COUNT(E15:AM15)</f>
        <v>12</v>
      </c>
      <c r="D15" t="s">
        <v>470</v>
      </c>
      <c r="E15">
        <v>0.59997438025034966</v>
      </c>
      <c r="F15">
        <v>0.63230519626563808</v>
      </c>
      <c r="G15">
        <v>0.63948316286123463</v>
      </c>
      <c r="H15">
        <v>0.78240109272677627</v>
      </c>
      <c r="I15">
        <v>0.81981257406337493</v>
      </c>
      <c r="J15">
        <v>0.87614425837583088</v>
      </c>
      <c r="K15">
        <v>0.88095128126505617</v>
      </c>
      <c r="L15">
        <v>0.86892037170214709</v>
      </c>
      <c r="M15">
        <v>0.89744542144719675</v>
      </c>
      <c r="N15">
        <v>0.93932748681830769</v>
      </c>
      <c r="O15">
        <v>0.95785020082724759</v>
      </c>
      <c r="P15">
        <v>1.013588987299924</v>
      </c>
    </row>
    <row r="16" spans="1:39" x14ac:dyDescent="0.45">
      <c r="A16" t="str">
        <f>VLOOKUP(B16,Setup!$B$3:$C$267,2,FALSE)</f>
        <v>Nepal</v>
      </c>
      <c r="B16" t="s">
        <v>29</v>
      </c>
      <c r="C16">
        <f>COUNT(E16:AM16)</f>
        <v>14</v>
      </c>
      <c r="D16" t="s">
        <v>450</v>
      </c>
      <c r="E16">
        <v>0.51652645529271457</v>
      </c>
      <c r="F16">
        <v>0.59178454631817357</v>
      </c>
      <c r="G16">
        <v>0.54589987785603056</v>
      </c>
      <c r="H16">
        <v>0.46424653123095272</v>
      </c>
      <c r="I16">
        <v>0.48754349653414081</v>
      </c>
      <c r="J16">
        <v>0.50462270838435108</v>
      </c>
      <c r="K16">
        <v>0.54467047603509933</v>
      </c>
      <c r="L16">
        <v>0.56908274065370446</v>
      </c>
      <c r="M16">
        <v>0.69840800112115853</v>
      </c>
      <c r="N16">
        <v>0.69189124341353225</v>
      </c>
      <c r="O16">
        <v>0.7632460800765769</v>
      </c>
      <c r="P16">
        <v>0.78945910898405369</v>
      </c>
      <c r="Q16">
        <v>0.88440039466326781</v>
      </c>
      <c r="R16">
        <v>1.036513513754014</v>
      </c>
    </row>
    <row r="17" spans="1:31" x14ac:dyDescent="0.45">
      <c r="A17" t="str">
        <f>VLOOKUP(B17,Setup!$B$3:$C$267,2,FALSE)</f>
        <v>Denmark</v>
      </c>
      <c r="B17" t="s">
        <v>9</v>
      </c>
      <c r="C17">
        <f>COUNT(E17:AM17)</f>
        <v>15</v>
      </c>
      <c r="D17" t="s">
        <v>331</v>
      </c>
      <c r="E17">
        <v>0.54842236468279304</v>
      </c>
      <c r="F17">
        <v>0.49720322566294961</v>
      </c>
      <c r="G17">
        <v>0.47898526667497487</v>
      </c>
      <c r="H17">
        <v>0.5079713501902775</v>
      </c>
      <c r="I17">
        <v>0.50341352898475522</v>
      </c>
      <c r="J17">
        <v>0.41882101859116561</v>
      </c>
      <c r="K17">
        <v>0.39331497710369562</v>
      </c>
      <c r="L17">
        <v>0.34261036144715917</v>
      </c>
      <c r="M17">
        <v>0.30291791768202841</v>
      </c>
      <c r="N17">
        <v>0.30371747113179259</v>
      </c>
      <c r="O17">
        <v>0.31016248317994238</v>
      </c>
      <c r="P17">
        <v>0.31566000619137358</v>
      </c>
      <c r="Q17">
        <v>0.34342844281039192</v>
      </c>
      <c r="R17">
        <v>0.34095558531002518</v>
      </c>
      <c r="S17">
        <v>1.320609356210855</v>
      </c>
    </row>
    <row r="18" spans="1:31" x14ac:dyDescent="0.45">
      <c r="A18" t="str">
        <f>VLOOKUP(B18,Setup!$B$3:$C$267,2,FALSE)</f>
        <v>Australia</v>
      </c>
      <c r="B18" t="s">
        <v>5</v>
      </c>
      <c r="C18">
        <f>COUNT(E18:AM18)</f>
        <v>16</v>
      </c>
      <c r="D18" t="s">
        <v>286</v>
      </c>
      <c r="E18">
        <v>0.59177452902588967</v>
      </c>
      <c r="F18">
        <v>0.60475371445633586</v>
      </c>
      <c r="G18">
        <v>0.60033374128984784</v>
      </c>
      <c r="H18">
        <v>0.61773309112356234</v>
      </c>
      <c r="I18">
        <v>0.63192071898715962</v>
      </c>
      <c r="J18">
        <v>0.66673423984454916</v>
      </c>
      <c r="K18">
        <v>0.69667949673680374</v>
      </c>
      <c r="L18">
        <v>0.7138637677028693</v>
      </c>
      <c r="M18">
        <v>0.75201469832278989</v>
      </c>
      <c r="N18">
        <v>0.78974896120815985</v>
      </c>
      <c r="O18">
        <v>0.83904699406180905</v>
      </c>
      <c r="P18">
        <v>0.87381032864698427</v>
      </c>
      <c r="Q18">
        <v>0.88189283033562649</v>
      </c>
      <c r="R18">
        <v>0.91068540133500075</v>
      </c>
      <c r="S18">
        <v>0.98970070138355193</v>
      </c>
      <c r="T18">
        <v>1.0244769376009939</v>
      </c>
    </row>
    <row r="19" spans="1:31" x14ac:dyDescent="0.45">
      <c r="A19" t="str">
        <f>VLOOKUP(B19,Setup!$B$3:$C$267,2,FALSE)</f>
        <v>Mauritius</v>
      </c>
      <c r="B19" t="s">
        <v>27</v>
      </c>
      <c r="C19">
        <f>COUNT(E19:AM19)</f>
        <v>16</v>
      </c>
      <c r="D19" t="s">
        <v>439</v>
      </c>
      <c r="E19">
        <v>0.55659382992380857</v>
      </c>
      <c r="F19">
        <v>0.55687331898231629</v>
      </c>
      <c r="G19">
        <v>0.55751062977970578</v>
      </c>
      <c r="H19">
        <v>0.56097409173755386</v>
      </c>
      <c r="I19">
        <v>0.56928999286637272</v>
      </c>
      <c r="J19">
        <v>0.69705877143237638</v>
      </c>
      <c r="K19">
        <v>0.69965794528589309</v>
      </c>
      <c r="L19">
        <v>0.71930314255040018</v>
      </c>
      <c r="M19">
        <v>0.67639908709286278</v>
      </c>
      <c r="N19">
        <v>0.70643395873589587</v>
      </c>
      <c r="O19">
        <v>0.80688165398608436</v>
      </c>
      <c r="P19">
        <v>0.78904357086893606</v>
      </c>
      <c r="Q19">
        <v>0.84168399282852324</v>
      </c>
      <c r="R19">
        <v>0.88087151069715997</v>
      </c>
      <c r="S19">
        <v>0.97480597013077641</v>
      </c>
      <c r="T19">
        <v>1.0369949226718429</v>
      </c>
    </row>
    <row r="20" spans="1:31" x14ac:dyDescent="0.45">
      <c r="A20" t="str">
        <f>VLOOKUP(B20,Setup!$B$3:$C$267,2,FALSE)</f>
        <v>East Asia &amp; Pacific (excluding high income)</v>
      </c>
      <c r="B20" t="s">
        <v>10</v>
      </c>
      <c r="C20">
        <f>COUNT(E20:AM20)</f>
        <v>17</v>
      </c>
      <c r="D20" t="s">
        <v>538</v>
      </c>
      <c r="E20">
        <v>0.5167853896220902</v>
      </c>
      <c r="F20">
        <v>0.52794989787292479</v>
      </c>
      <c r="G20">
        <v>0.54854407626611446</v>
      </c>
      <c r="H20">
        <v>0.575947624435595</v>
      </c>
      <c r="I20">
        <v>0.63144843341891521</v>
      </c>
      <c r="J20">
        <v>0.71586650872068813</v>
      </c>
      <c r="K20">
        <v>0.68116983183740698</v>
      </c>
      <c r="L20">
        <v>0.7131707190872052</v>
      </c>
      <c r="M20">
        <v>0.76246487090792936</v>
      </c>
      <c r="N20">
        <v>0.78085553591809864</v>
      </c>
      <c r="O20">
        <v>0.79124761232883145</v>
      </c>
      <c r="P20">
        <v>0.86967129499983253</v>
      </c>
      <c r="Q20">
        <v>0.80738785714192918</v>
      </c>
      <c r="R20">
        <v>0.80558228883886074</v>
      </c>
      <c r="S20">
        <v>0.87240326094137</v>
      </c>
      <c r="T20">
        <v>0.95054519756745437</v>
      </c>
      <c r="U20">
        <v>1.0089026494511499</v>
      </c>
    </row>
    <row r="21" spans="1:31" x14ac:dyDescent="0.45">
      <c r="A21" t="str">
        <f>VLOOKUP(B21,Setup!$B$3:$C$267,2,FALSE)</f>
        <v>East Asia &amp; Pacific (IDA &amp; IBRD)</v>
      </c>
      <c r="B21" t="s">
        <v>35</v>
      </c>
      <c r="C21">
        <f>COUNT(E21:AM21)</f>
        <v>17</v>
      </c>
      <c r="D21" t="s">
        <v>336</v>
      </c>
      <c r="E21">
        <v>0.51678538962209042</v>
      </c>
      <c r="F21">
        <v>0.52794989787292479</v>
      </c>
      <c r="G21">
        <v>0.54854407626611468</v>
      </c>
      <c r="H21">
        <v>0.57594762443559522</v>
      </c>
      <c r="I21">
        <v>0.63144843341891499</v>
      </c>
      <c r="J21">
        <v>0.71586650872068813</v>
      </c>
      <c r="K21">
        <v>0.68116983183740698</v>
      </c>
      <c r="L21">
        <v>0.7131707190872052</v>
      </c>
      <c r="M21">
        <v>0.76246487090792936</v>
      </c>
      <c r="N21">
        <v>0.78085553591809864</v>
      </c>
      <c r="O21">
        <v>0.79124761232883134</v>
      </c>
      <c r="P21">
        <v>0.86967129499983242</v>
      </c>
      <c r="Q21">
        <v>0.80738785714192896</v>
      </c>
      <c r="R21">
        <v>0.80558228883886074</v>
      </c>
      <c r="S21">
        <v>0.87240326094136988</v>
      </c>
      <c r="T21">
        <v>0.95054519756745437</v>
      </c>
      <c r="U21">
        <v>1.0089026494511499</v>
      </c>
    </row>
    <row r="22" spans="1:31" x14ac:dyDescent="0.45">
      <c r="A22" t="str">
        <f>VLOOKUP(B22,Setup!$B$3:$C$267,2,FALSE)</f>
        <v>Fiji</v>
      </c>
      <c r="B22" t="s">
        <v>13</v>
      </c>
      <c r="C22">
        <f>COUNT(E22:AM22)</f>
        <v>18</v>
      </c>
      <c r="D22" t="s">
        <v>349</v>
      </c>
      <c r="E22">
        <v>0.55299121247525207</v>
      </c>
      <c r="F22">
        <v>0.54742556018428878</v>
      </c>
      <c r="G22">
        <v>0.61113471696766108</v>
      </c>
      <c r="H22">
        <v>0.69191584794394245</v>
      </c>
      <c r="I22">
        <v>0.79066688970757459</v>
      </c>
      <c r="J22">
        <v>0.78749678277384616</v>
      </c>
      <c r="K22">
        <v>0.85911350888126714</v>
      </c>
      <c r="L22">
        <v>0.89605567220232984</v>
      </c>
      <c r="M22">
        <v>0.83461549549488778</v>
      </c>
      <c r="N22">
        <v>0.75388073263419841</v>
      </c>
      <c r="O22">
        <v>0.76801255594226925</v>
      </c>
      <c r="P22">
        <v>0.74888746535104778</v>
      </c>
      <c r="Q22">
        <v>0.72596975982595946</v>
      </c>
      <c r="R22">
        <v>0.78765928937683072</v>
      </c>
      <c r="S22">
        <v>0.84425144937718277</v>
      </c>
      <c r="T22">
        <v>0.8620668121691315</v>
      </c>
      <c r="U22">
        <v>0.92796324740404657</v>
      </c>
      <c r="V22">
        <v>1.041138811666886</v>
      </c>
    </row>
    <row r="23" spans="1:31" x14ac:dyDescent="0.45">
      <c r="A23" t="str">
        <f>VLOOKUP(B23,Setup!$B$3:$C$267,2,FALSE)</f>
        <v>Sweden</v>
      </c>
      <c r="B23" t="s">
        <v>34</v>
      </c>
      <c r="C23">
        <f>COUNT(E23:AM23)</f>
        <v>18</v>
      </c>
      <c r="D23" t="s">
        <v>495</v>
      </c>
      <c r="E23">
        <v>0.50268773203126205</v>
      </c>
      <c r="F23">
        <v>0.51122587684616783</v>
      </c>
      <c r="G23">
        <v>0.47427717421565269</v>
      </c>
      <c r="H23">
        <v>0.47434823341548599</v>
      </c>
      <c r="I23">
        <v>0.38149281794794032</v>
      </c>
      <c r="J23">
        <v>0.34289051263655751</v>
      </c>
      <c r="K23">
        <v>0.31324742736164868</v>
      </c>
      <c r="L23">
        <v>0.31832135228372049</v>
      </c>
      <c r="M23">
        <v>0.34718775191535012</v>
      </c>
      <c r="N23">
        <v>0.35832938245027812</v>
      </c>
      <c r="O23">
        <v>0.37432187027912289</v>
      </c>
      <c r="P23">
        <v>0.39799939803427048</v>
      </c>
      <c r="Q23">
        <v>0.89547434522241443</v>
      </c>
      <c r="R23">
        <v>0.89628767146107036</v>
      </c>
      <c r="S23">
        <v>0.89911527683691106</v>
      </c>
      <c r="T23">
        <v>0.91635025792767555</v>
      </c>
      <c r="U23">
        <v>0.99270035089013897</v>
      </c>
      <c r="V23">
        <v>1.027244595748066</v>
      </c>
    </row>
    <row r="24" spans="1:31" x14ac:dyDescent="0.45">
      <c r="A24" t="str">
        <f>VLOOKUP(B24,Setup!$B$3:$C$267,2,FALSE)</f>
        <v>IDA &amp; IBRD total</v>
      </c>
      <c r="B24" t="s">
        <v>17</v>
      </c>
      <c r="C24">
        <f>COUNT(E24:AM24)</f>
        <v>18</v>
      </c>
      <c r="D24" t="s">
        <v>376</v>
      </c>
      <c r="E24">
        <v>0.50968485498628247</v>
      </c>
      <c r="F24">
        <v>0.54209467472687978</v>
      </c>
      <c r="G24">
        <v>0.53603607503112671</v>
      </c>
      <c r="H24">
        <v>0.52463711502813026</v>
      </c>
      <c r="I24">
        <v>0.54149668194877532</v>
      </c>
      <c r="J24">
        <v>0.57366147551916324</v>
      </c>
      <c r="K24">
        <v>0.57417862658447061</v>
      </c>
      <c r="L24">
        <v>0.66697625761324442</v>
      </c>
      <c r="M24">
        <v>0.68000376475737834</v>
      </c>
      <c r="N24">
        <v>0.69018577469197895</v>
      </c>
      <c r="O24">
        <v>0.7328602428445421</v>
      </c>
      <c r="P24">
        <v>0.77760092179956064</v>
      </c>
      <c r="Q24">
        <v>0.83052059424806757</v>
      </c>
      <c r="R24">
        <v>0.91496572867834447</v>
      </c>
      <c r="S24">
        <v>0.93118922947277782</v>
      </c>
      <c r="T24">
        <v>0.92885775407510029</v>
      </c>
      <c r="U24">
        <v>0.97765842284505278</v>
      </c>
      <c r="V24">
        <v>0.99450323267807139</v>
      </c>
    </row>
    <row r="25" spans="1:31" x14ac:dyDescent="0.45">
      <c r="A25" t="str">
        <f>VLOOKUP(B25,Setup!$B$3:$C$267,2,FALSE)</f>
        <v>Upper middle income</v>
      </c>
      <c r="B25" t="s">
        <v>36</v>
      </c>
      <c r="C25">
        <f>COUNT(E25:AM25)</f>
        <v>18</v>
      </c>
      <c r="D25" t="s">
        <v>521</v>
      </c>
      <c r="E25">
        <v>0.56202578271268755</v>
      </c>
      <c r="F25">
        <v>0.55488991126323084</v>
      </c>
      <c r="G25">
        <v>0.59843381598314938</v>
      </c>
      <c r="H25">
        <v>0.59570334962391835</v>
      </c>
      <c r="I25">
        <v>0.59487407149644189</v>
      </c>
      <c r="J25">
        <v>0.6533361082814112</v>
      </c>
      <c r="K25">
        <v>0.70889256247801624</v>
      </c>
      <c r="L25">
        <v>0.68423853115828626</v>
      </c>
      <c r="M25">
        <v>0.6600428405848412</v>
      </c>
      <c r="N25">
        <v>0.67361436932553009</v>
      </c>
      <c r="O25">
        <v>0.69720803297313916</v>
      </c>
      <c r="P25">
        <v>0.66822755998971783</v>
      </c>
      <c r="Q25">
        <v>0.78947004699794177</v>
      </c>
      <c r="R25">
        <v>0.80563038800551323</v>
      </c>
      <c r="S25">
        <v>0.81570778763429852</v>
      </c>
      <c r="T25">
        <v>0.872211456379822</v>
      </c>
      <c r="U25">
        <v>0.92936106122246542</v>
      </c>
      <c r="V25">
        <v>0.9864467668340271</v>
      </c>
    </row>
    <row r="26" spans="1:31" x14ac:dyDescent="0.45">
      <c r="A26" t="str">
        <f>VLOOKUP(B26,Setup!$B$3:$C$267,2,FALSE)</f>
        <v>Finland</v>
      </c>
      <c r="B26" t="s">
        <v>12</v>
      </c>
      <c r="C26">
        <f>COUNT(E26:AM26)</f>
        <v>20</v>
      </c>
      <c r="D26" t="s">
        <v>348</v>
      </c>
      <c r="E26">
        <v>0.52654566183474927</v>
      </c>
      <c r="F26">
        <v>0.55436378252554908</v>
      </c>
      <c r="G26">
        <v>0.60284482644976733</v>
      </c>
      <c r="H26">
        <v>0.6373274705337626</v>
      </c>
      <c r="I26">
        <v>0.69254733824833314</v>
      </c>
      <c r="J26">
        <v>0.73413899028699359</v>
      </c>
      <c r="K26">
        <v>0.76282884009857854</v>
      </c>
      <c r="L26">
        <v>0.80105326558663181</v>
      </c>
      <c r="M26">
        <v>0.86308636201061983</v>
      </c>
      <c r="N26">
        <v>0.8813321498615444</v>
      </c>
      <c r="O26">
        <v>0.89533783612860807</v>
      </c>
      <c r="P26">
        <v>0.92075477347812618</v>
      </c>
      <c r="Q26">
        <v>0.93313414939777983</v>
      </c>
      <c r="R26">
        <v>0.9336620436715164</v>
      </c>
      <c r="S26">
        <v>0.9498506127730838</v>
      </c>
      <c r="T26">
        <v>0.94784370262890727</v>
      </c>
      <c r="U26">
        <v>0.94031757051436093</v>
      </c>
      <c r="V26">
        <v>0.948815247622949</v>
      </c>
      <c r="W26">
        <v>0.95919385539036883</v>
      </c>
      <c r="X26">
        <v>1.0173825125747189</v>
      </c>
    </row>
    <row r="27" spans="1:31" x14ac:dyDescent="0.45">
      <c r="A27" t="str">
        <f>VLOOKUP(B27,Setup!$B$3:$C$267,2,FALSE)</f>
        <v>IBRD only</v>
      </c>
      <c r="B27" t="s">
        <v>16</v>
      </c>
      <c r="C27">
        <f>COUNT(E27:AM27)</f>
        <v>20</v>
      </c>
      <c r="D27" t="s">
        <v>375</v>
      </c>
      <c r="E27">
        <v>0.52217992148491588</v>
      </c>
      <c r="F27">
        <v>0.52643576791457636</v>
      </c>
      <c r="G27">
        <v>0.507821318840323</v>
      </c>
      <c r="H27">
        <v>0.54539584726848556</v>
      </c>
      <c r="I27">
        <v>0.58138824733890249</v>
      </c>
      <c r="J27">
        <v>0.57333967564739219</v>
      </c>
      <c r="K27">
        <v>0.55959341672520557</v>
      </c>
      <c r="L27">
        <v>0.57808062161479778</v>
      </c>
      <c r="M27">
        <v>0.60852693120303114</v>
      </c>
      <c r="N27">
        <v>0.60543868398391398</v>
      </c>
      <c r="O27">
        <v>0.70361724695728833</v>
      </c>
      <c r="P27">
        <v>0.7163034337869143</v>
      </c>
      <c r="Q27">
        <v>0.72731357243877237</v>
      </c>
      <c r="R27">
        <v>0.77133525523308055</v>
      </c>
      <c r="S27">
        <v>0.82278448973122253</v>
      </c>
      <c r="T27">
        <v>0.87992444613680965</v>
      </c>
      <c r="U27">
        <v>0.97029268040241912</v>
      </c>
      <c r="V27">
        <v>0.98590103049597633</v>
      </c>
      <c r="W27">
        <v>0.98153560436856213</v>
      </c>
      <c r="X27">
        <v>1.0347021628773749</v>
      </c>
    </row>
    <row r="28" spans="1:31" x14ac:dyDescent="0.45">
      <c r="A28" t="str">
        <f>VLOOKUP(B28,Setup!$B$3:$C$267,2,FALSE)</f>
        <v>Late-demographic dividend</v>
      </c>
      <c r="B28" t="s">
        <v>24</v>
      </c>
      <c r="C28">
        <f>COUNT(E28:AM28)</f>
        <v>21</v>
      </c>
      <c r="D28" t="s">
        <v>414</v>
      </c>
      <c r="E28">
        <v>0.52436948789703752</v>
      </c>
      <c r="F28">
        <v>0.54615397232199547</v>
      </c>
      <c r="G28">
        <v>0.56183173747937487</v>
      </c>
      <c r="H28">
        <v>0.60548447393484695</v>
      </c>
      <c r="I28">
        <v>0.64604439776495126</v>
      </c>
      <c r="J28">
        <v>0.64574587612526468</v>
      </c>
      <c r="K28">
        <v>0.72639419399779459</v>
      </c>
      <c r="L28">
        <v>0.73410899364888627</v>
      </c>
      <c r="M28">
        <v>0.69402692235437524</v>
      </c>
      <c r="N28">
        <v>0.7373678468555015</v>
      </c>
      <c r="O28">
        <v>0.777284715491526</v>
      </c>
      <c r="P28">
        <v>0.75408788728602372</v>
      </c>
      <c r="Q28">
        <v>0.72080675091327195</v>
      </c>
      <c r="R28">
        <v>0.72433588163466001</v>
      </c>
      <c r="S28">
        <v>0.75202596382151876</v>
      </c>
      <c r="T28">
        <v>0.75534092020949084</v>
      </c>
      <c r="U28">
        <v>0.90795982418768095</v>
      </c>
      <c r="V28">
        <v>0.90697799581429839</v>
      </c>
      <c r="W28">
        <v>0.8981770898801783</v>
      </c>
      <c r="X28">
        <v>0.95244217072890858</v>
      </c>
      <c r="Y28">
        <v>1.00370353273152</v>
      </c>
    </row>
    <row r="29" spans="1:31" x14ac:dyDescent="0.45">
      <c r="A29" t="str">
        <f>VLOOKUP(B29,Setup!$B$3:$C$267,2,FALSE)</f>
        <v>China</v>
      </c>
      <c r="B29" t="s">
        <v>8</v>
      </c>
      <c r="C29">
        <f>COUNT(E29:AM29)</f>
        <v>17</v>
      </c>
      <c r="D29" t="s">
        <v>313</v>
      </c>
      <c r="E29">
        <v>0.51093567610739077</v>
      </c>
      <c r="F29">
        <v>0.50206252713851496</v>
      </c>
      <c r="G29">
        <v>0.49659135177249708</v>
      </c>
      <c r="H29">
        <v>0.52533890375786063</v>
      </c>
      <c r="I29">
        <v>0.55912391044957221</v>
      </c>
      <c r="J29">
        <v>0.56696262723827917</v>
      </c>
      <c r="K29">
        <v>0.56876916701201818</v>
      </c>
      <c r="L29">
        <v>0.60605561954911968</v>
      </c>
      <c r="M29">
        <v>0.66069175835627858</v>
      </c>
      <c r="N29">
        <v>0.75835000769585958</v>
      </c>
      <c r="O29">
        <v>0.77899492460704645</v>
      </c>
      <c r="P29">
        <v>0.73857060185185186</v>
      </c>
      <c r="Q29">
        <v>0.76997675769901219</v>
      </c>
      <c r="R29">
        <v>0.86033020264839022</v>
      </c>
      <c r="S29">
        <v>0.88101074265208945</v>
      </c>
      <c r="T29">
        <v>0.86053063497413507</v>
      </c>
      <c r="U29">
        <v>0.9650639173415746</v>
      </c>
    </row>
    <row r="30" spans="1:31" x14ac:dyDescent="0.45">
      <c r="A30" t="str">
        <f>VLOOKUP(B30,Setup!$B$3:$C$267,2,FALSE)</f>
        <v>Canada</v>
      </c>
      <c r="B30" t="s">
        <v>7</v>
      </c>
      <c r="C30">
        <f>COUNT(E30:AM30)</f>
        <v>24</v>
      </c>
      <c r="D30" t="s">
        <v>308</v>
      </c>
      <c r="E30">
        <v>0.53032184323719878</v>
      </c>
      <c r="F30">
        <v>0.55675990718785084</v>
      </c>
      <c r="G30">
        <v>0.56416627447945367</v>
      </c>
      <c r="H30">
        <v>0.69870343524506051</v>
      </c>
      <c r="I30">
        <v>0.68063867113537246</v>
      </c>
      <c r="J30">
        <v>0.63007338909512101</v>
      </c>
      <c r="K30">
        <v>0.62618780655690864</v>
      </c>
      <c r="L30">
        <v>0.63228585656374559</v>
      </c>
      <c r="M30">
        <v>0.63304787042135846</v>
      </c>
      <c r="N30">
        <v>0.64086701860931583</v>
      </c>
      <c r="O30">
        <v>0.66220286045168719</v>
      </c>
      <c r="P30">
        <v>0.6980072336984926</v>
      </c>
      <c r="Q30">
        <v>0.73068047350039766</v>
      </c>
      <c r="R30">
        <v>0.74988920918872626</v>
      </c>
      <c r="S30">
        <v>0.76528598232827971</v>
      </c>
      <c r="T30">
        <v>0.75532001761626266</v>
      </c>
      <c r="U30">
        <v>0.74751506366386689</v>
      </c>
      <c r="V30">
        <v>0.73950513515170968</v>
      </c>
      <c r="W30">
        <v>0.78633084990823798</v>
      </c>
      <c r="X30">
        <v>0.81531268779737465</v>
      </c>
      <c r="Y30">
        <v>0.79862539813163835</v>
      </c>
      <c r="Z30">
        <v>0.77250110872224598</v>
      </c>
      <c r="AA30">
        <v>0.73987738492292043</v>
      </c>
      <c r="AB30">
        <v>1.2135283176137031</v>
      </c>
    </row>
    <row r="31" spans="1:31" x14ac:dyDescent="0.45">
      <c r="A31" t="str">
        <f>VLOOKUP(B31,Setup!$B$3:$C$267,2,FALSE)</f>
        <v>Low &amp; middle income</v>
      </c>
      <c r="B31" t="s">
        <v>23</v>
      </c>
      <c r="C31">
        <f>COUNT(E31:AM31)</f>
        <v>27</v>
      </c>
      <c r="D31" t="s">
        <v>412</v>
      </c>
      <c r="E31">
        <v>0.61304163020916791</v>
      </c>
      <c r="F31">
        <v>0.48584998096944121</v>
      </c>
      <c r="G31">
        <v>0.50852522355736307</v>
      </c>
      <c r="H31">
        <v>0.47029400558373219</v>
      </c>
      <c r="I31">
        <v>0.48474738827274921</v>
      </c>
      <c r="J31">
        <v>0.4771907162837688</v>
      </c>
      <c r="K31">
        <v>0.47063182248760599</v>
      </c>
      <c r="L31">
        <v>0.51566496547700258</v>
      </c>
      <c r="M31">
        <v>0.51424305635376211</v>
      </c>
      <c r="N31">
        <v>0.5159690231565961</v>
      </c>
      <c r="O31">
        <v>0.55758839180508302</v>
      </c>
      <c r="P31">
        <v>0.5948437090166272</v>
      </c>
      <c r="Q31">
        <v>0.58454989640884825</v>
      </c>
      <c r="R31">
        <v>0.57193397793278289</v>
      </c>
      <c r="S31">
        <v>0.58616922577575337</v>
      </c>
      <c r="T31">
        <v>0.6126360869163302</v>
      </c>
      <c r="U31">
        <v>0.60384753641239575</v>
      </c>
      <c r="V31">
        <v>0.70071550425407847</v>
      </c>
      <c r="W31">
        <v>0.71713553254074658</v>
      </c>
      <c r="X31">
        <v>0.72825269607408472</v>
      </c>
      <c r="Y31">
        <v>0.77581751930713438</v>
      </c>
      <c r="Z31">
        <v>0.81968051937949193</v>
      </c>
      <c r="AA31">
        <v>0.86460379953700739</v>
      </c>
      <c r="AB31">
        <v>0.9483506070260036</v>
      </c>
      <c r="AC31">
        <v>0.96584289080891039</v>
      </c>
      <c r="AD31">
        <v>0.96776706626566533</v>
      </c>
      <c r="AE31">
        <v>1.0231679513083041</v>
      </c>
    </row>
    <row r="32" spans="1:31" x14ac:dyDescent="0.45">
      <c r="A32" t="str">
        <f>VLOOKUP(B32,Setup!$B$3:$C$267,2,FALSE)</f>
        <v>Singapore</v>
      </c>
      <c r="B32" t="s">
        <v>33</v>
      </c>
      <c r="C32">
        <f>COUNT(E32:AM32)</f>
        <v>27</v>
      </c>
      <c r="D32" t="s">
        <v>480</v>
      </c>
      <c r="E32">
        <v>0.5025113522758754</v>
      </c>
      <c r="F32">
        <v>0.59082688829889574</v>
      </c>
      <c r="G32">
        <v>0.53314525305110905</v>
      </c>
      <c r="H32">
        <v>0.56006759562085262</v>
      </c>
      <c r="I32">
        <v>0.57340336190463492</v>
      </c>
      <c r="J32">
        <v>0.58172100873223587</v>
      </c>
      <c r="K32">
        <v>0.60193920621244013</v>
      </c>
      <c r="L32">
        <v>0.64589521881444767</v>
      </c>
      <c r="M32">
        <v>0.68907134242508594</v>
      </c>
      <c r="N32">
        <v>0.75342646283605708</v>
      </c>
      <c r="O32">
        <v>0.80120772662531048</v>
      </c>
      <c r="P32">
        <v>0.85608807609438231</v>
      </c>
      <c r="Q32">
        <v>0.85328681249161287</v>
      </c>
      <c r="R32">
        <v>0.87605352545591586</v>
      </c>
      <c r="S32">
        <v>0.84350018462953047</v>
      </c>
      <c r="T32">
        <v>0.80576076576032662</v>
      </c>
      <c r="U32">
        <v>0.76352693033988794</v>
      </c>
      <c r="V32">
        <v>0.7954035737295807</v>
      </c>
      <c r="W32">
        <v>0.79164674723338579</v>
      </c>
      <c r="X32">
        <v>0.79871102125210713</v>
      </c>
      <c r="Y32">
        <v>0.81085536774524802</v>
      </c>
      <c r="Z32">
        <v>0.80971701263542517</v>
      </c>
      <c r="AA32">
        <v>0.8119024053932552</v>
      </c>
      <c r="AB32">
        <v>0.88293496958541196</v>
      </c>
      <c r="AC32">
        <v>0.93741806429945518</v>
      </c>
      <c r="AD32">
        <v>0.96470304928415951</v>
      </c>
      <c r="AE32">
        <v>1.0793107365817991</v>
      </c>
    </row>
    <row r="33" spans="1:39" x14ac:dyDescent="0.45">
      <c r="A33" t="str">
        <f>VLOOKUP(B33,Setup!$B$3:$C$267,2,FALSE)</f>
        <v>Lebanon</v>
      </c>
      <c r="B33" t="s">
        <v>22</v>
      </c>
      <c r="C33">
        <f>COUNT(E33:AM33)</f>
        <v>28</v>
      </c>
      <c r="D33" t="s">
        <v>402</v>
      </c>
      <c r="E33">
        <v>0.54550737382668524</v>
      </c>
      <c r="F33">
        <v>0.65548293858870854</v>
      </c>
      <c r="G33">
        <v>0.79377498363157328</v>
      </c>
      <c r="H33">
        <v>0.45735857244855932</v>
      </c>
      <c r="I33">
        <v>0.48948358208563719</v>
      </c>
      <c r="J33">
        <v>0.42968591913577397</v>
      </c>
      <c r="K33">
        <v>0.48816395863420731</v>
      </c>
      <c r="L33">
        <v>0.54944632552265449</v>
      </c>
      <c r="M33">
        <v>0.60548535978399209</v>
      </c>
      <c r="N33">
        <v>0.66139999999999999</v>
      </c>
      <c r="O33">
        <v>0.73891315155455273</v>
      </c>
      <c r="P33">
        <v>0.82267475117263478</v>
      </c>
      <c r="Q33">
        <v>0.87901614142966944</v>
      </c>
      <c r="R33">
        <v>0.86022851129402023</v>
      </c>
      <c r="S33">
        <v>0.82574567054585757</v>
      </c>
      <c r="T33">
        <v>0.78642870355078442</v>
      </c>
      <c r="U33">
        <v>0.78125687195620552</v>
      </c>
      <c r="V33">
        <v>0.69669526446321384</v>
      </c>
      <c r="W33">
        <v>0.71811094223920502</v>
      </c>
      <c r="X33">
        <v>0.74106420124924055</v>
      </c>
      <c r="Y33">
        <v>0.76275272711160935</v>
      </c>
      <c r="Z33">
        <v>0.72044693613297706</v>
      </c>
      <c r="AA33">
        <v>0.82528480012555017</v>
      </c>
      <c r="AB33">
        <v>0.89987856569182023</v>
      </c>
      <c r="AC33">
        <v>0.89955330272469625</v>
      </c>
      <c r="AD33">
        <v>0.93317292930294249</v>
      </c>
      <c r="AE33">
        <v>0.98225547584796746</v>
      </c>
      <c r="AF33">
        <v>1.0056612386642889</v>
      </c>
    </row>
    <row r="34" spans="1:39" x14ac:dyDescent="0.45">
      <c r="A34" t="str">
        <f>VLOOKUP(B34,Setup!$B$3:$C$267,2,FALSE)</f>
        <v>Middle income</v>
      </c>
      <c r="B34" t="s">
        <v>26</v>
      </c>
      <c r="C34">
        <f>COUNT(E34:AM34)</f>
        <v>28</v>
      </c>
      <c r="D34" t="s">
        <v>428</v>
      </c>
      <c r="E34">
        <v>0.51409686953438372</v>
      </c>
      <c r="F34">
        <v>0.6323991334734389</v>
      </c>
      <c r="G34">
        <v>0.50057895560290788</v>
      </c>
      <c r="H34">
        <v>0.52215794301262175</v>
      </c>
      <c r="I34">
        <v>0.47911084926459568</v>
      </c>
      <c r="J34">
        <v>0.49160776571045189</v>
      </c>
      <c r="K34">
        <v>0.48312986862666413</v>
      </c>
      <c r="L34">
        <v>0.47639723059300948</v>
      </c>
      <c r="M34">
        <v>0.52275602602408322</v>
      </c>
      <c r="N34">
        <v>0.52331731609077659</v>
      </c>
      <c r="O34">
        <v>0.52437273926450745</v>
      </c>
      <c r="P34">
        <v>0.56775773442700628</v>
      </c>
      <c r="Q34">
        <v>0.60565089119022286</v>
      </c>
      <c r="R34">
        <v>0.59486949244209297</v>
      </c>
      <c r="S34">
        <v>0.582139101698536</v>
      </c>
      <c r="T34">
        <v>0.59683555573894653</v>
      </c>
      <c r="U34">
        <v>0.62338695614680661</v>
      </c>
      <c r="V34">
        <v>0.61355647683085457</v>
      </c>
      <c r="W34">
        <v>0.71087541822623013</v>
      </c>
      <c r="X34">
        <v>0.72676913860466064</v>
      </c>
      <c r="Y34">
        <v>0.73873602743830924</v>
      </c>
      <c r="Z34">
        <v>0.78437293201907987</v>
      </c>
      <c r="AA34">
        <v>0.8290334166505402</v>
      </c>
      <c r="AB34">
        <v>0.87317407511624734</v>
      </c>
      <c r="AC34">
        <v>0.95746460094217301</v>
      </c>
      <c r="AD34">
        <v>0.97404489181664333</v>
      </c>
      <c r="AE34">
        <v>0.97574842720119037</v>
      </c>
      <c r="AF34">
        <v>1.0320185889313731</v>
      </c>
    </row>
    <row r="35" spans="1:39" x14ac:dyDescent="0.45">
      <c r="A35" t="str">
        <f>VLOOKUP(B35,Setup!$B$3:$C$267,2,FALSE)</f>
        <v>Qatar</v>
      </c>
      <c r="B35" t="s">
        <v>32</v>
      </c>
      <c r="C35">
        <f>COUNT(E35:AM35)</f>
        <v>29</v>
      </c>
      <c r="D35" t="s">
        <v>472</v>
      </c>
      <c r="E35">
        <v>0.53255108556832698</v>
      </c>
      <c r="F35">
        <v>0.65079763130932688</v>
      </c>
      <c r="G35">
        <v>0.42060651138019728</v>
      </c>
      <c r="H35">
        <v>0.35591400794504319</v>
      </c>
      <c r="I35">
        <v>0.34696172232748251</v>
      </c>
      <c r="J35">
        <v>0.31127184350048043</v>
      </c>
      <c r="K35">
        <v>0.30550043992924159</v>
      </c>
      <c r="L35">
        <v>0.38755958381025418</v>
      </c>
      <c r="M35">
        <v>0.34762918135266341</v>
      </c>
      <c r="N35">
        <v>0.26848992977137021</v>
      </c>
      <c r="O35">
        <v>0.3489328477443609</v>
      </c>
      <c r="P35">
        <v>0.28678248964303948</v>
      </c>
      <c r="Q35">
        <v>0.29988158248018398</v>
      </c>
      <c r="R35">
        <v>0.28984866507375862</v>
      </c>
      <c r="S35">
        <v>0.33721586639603679</v>
      </c>
      <c r="T35">
        <v>0.35997458158665407</v>
      </c>
      <c r="U35">
        <v>0.41576840759326139</v>
      </c>
      <c r="V35">
        <v>0.40801185462709411</v>
      </c>
      <c r="W35">
        <v>0.51735108684049369</v>
      </c>
      <c r="X35">
        <v>0.45242405495074478</v>
      </c>
      <c r="Y35">
        <v>0.39753024879564841</v>
      </c>
      <c r="Z35">
        <v>0.37128439552166381</v>
      </c>
      <c r="AA35">
        <v>0.4000531900039952</v>
      </c>
      <c r="AB35">
        <v>0.46096780291424322</v>
      </c>
      <c r="AC35">
        <v>0.70842532862944663</v>
      </c>
      <c r="AD35">
        <v>0.79760609083749012</v>
      </c>
      <c r="AE35">
        <v>0.80081674144484749</v>
      </c>
      <c r="AF35">
        <v>0.80436747235292361</v>
      </c>
      <c r="AG35">
        <v>1.0063605496641701</v>
      </c>
    </row>
    <row r="36" spans="1:39" x14ac:dyDescent="0.45">
      <c r="A36" t="str">
        <f>VLOOKUP(B36,Setup!$B$3:$C$267,2,FALSE)</f>
        <v>South Africa</v>
      </c>
      <c r="B36" t="s">
        <v>38</v>
      </c>
      <c r="C36">
        <f>COUNT(E36:AM36)</f>
        <v>29</v>
      </c>
      <c r="D36" t="s">
        <v>535</v>
      </c>
      <c r="E36">
        <v>0.58716657739689337</v>
      </c>
      <c r="F36">
        <v>0.57402718943946407</v>
      </c>
      <c r="G36">
        <v>0.56836563136005658</v>
      </c>
      <c r="H36">
        <v>0.54801340745585347</v>
      </c>
      <c r="I36">
        <v>0.56189022173754999</v>
      </c>
      <c r="J36">
        <v>0.57638229084191084</v>
      </c>
      <c r="K36">
        <v>0.58124104156712852</v>
      </c>
      <c r="L36">
        <v>0.57208691499522446</v>
      </c>
      <c r="M36">
        <v>0.5794372481913096</v>
      </c>
      <c r="N36">
        <v>0.5501493439533478</v>
      </c>
      <c r="O36">
        <v>0.5669019855026789</v>
      </c>
      <c r="P36">
        <v>0.54732694296174156</v>
      </c>
      <c r="Q36">
        <v>0.53874822407144307</v>
      </c>
      <c r="R36">
        <v>0.5340694357785899</v>
      </c>
      <c r="S36">
        <v>0.52068010550113042</v>
      </c>
      <c r="T36">
        <v>0.50085299481597423</v>
      </c>
      <c r="U36">
        <v>0.53922117960826532</v>
      </c>
      <c r="V36">
        <v>0.55294823963291739</v>
      </c>
      <c r="W36">
        <v>0.5884009292691802</v>
      </c>
      <c r="X36">
        <v>0.61759566158441626</v>
      </c>
      <c r="Y36">
        <v>0.65197690363986938</v>
      </c>
      <c r="Z36">
        <v>0.64857384051832145</v>
      </c>
      <c r="AA36">
        <v>0.65225413380819131</v>
      </c>
      <c r="AB36">
        <v>0.66753346193546204</v>
      </c>
      <c r="AC36">
        <v>0.69140792886254165</v>
      </c>
      <c r="AD36">
        <v>0.71938198922505647</v>
      </c>
      <c r="AE36">
        <v>0.90983076724859879</v>
      </c>
      <c r="AF36">
        <v>0.9582825572459589</v>
      </c>
      <c r="AG36">
        <v>1.0105860317314681</v>
      </c>
    </row>
    <row r="37" spans="1:39" x14ac:dyDescent="0.45">
      <c r="A37" t="str">
        <f>VLOOKUP(B37,Setup!$B$3:$C$267,2,FALSE)</f>
        <v>Macao SAR, China</v>
      </c>
      <c r="B37" t="s">
        <v>25</v>
      </c>
      <c r="C37">
        <f>COUNT(E37:AM37)</f>
        <v>32</v>
      </c>
      <c r="D37" t="s">
        <v>418</v>
      </c>
      <c r="E37">
        <v>0.52428203415704611</v>
      </c>
      <c r="F37">
        <v>0.63188618632400184</v>
      </c>
      <c r="G37">
        <v>0.61091471857945756</v>
      </c>
      <c r="H37">
        <v>0.56016835660991005</v>
      </c>
      <c r="I37">
        <v>0.59636472314296585</v>
      </c>
      <c r="J37">
        <v>0.63597552560150894</v>
      </c>
      <c r="K37">
        <v>0.62642857142857145</v>
      </c>
      <c r="L37">
        <v>0.65594266374676491</v>
      </c>
      <c r="M37">
        <v>0.66061665688251348</v>
      </c>
      <c r="N37">
        <v>0.79743691987328591</v>
      </c>
      <c r="O37">
        <v>0.79036804076514278</v>
      </c>
      <c r="P37">
        <v>0.7426614655694489</v>
      </c>
      <c r="Q37">
        <v>0.77819463392451116</v>
      </c>
      <c r="R37">
        <v>0.84350684080674942</v>
      </c>
      <c r="S37">
        <v>0.78936586085449278</v>
      </c>
      <c r="T37">
        <v>0.80481805672349216</v>
      </c>
      <c r="U37">
        <v>0.71969393198079734</v>
      </c>
      <c r="V37">
        <v>0.63403788648570181</v>
      </c>
      <c r="W37">
        <v>0.54579375211077341</v>
      </c>
      <c r="X37">
        <v>0.48219402240464421</v>
      </c>
      <c r="Y37">
        <v>0.40720756131268893</v>
      </c>
      <c r="Z37">
        <v>0.43901689678180977</v>
      </c>
      <c r="AA37">
        <v>0.40915157040348188</v>
      </c>
      <c r="AB37">
        <v>0.47311519020657172</v>
      </c>
      <c r="AC37">
        <v>0.53282047450471126</v>
      </c>
      <c r="AD37">
        <v>0.57455805008788874</v>
      </c>
      <c r="AE37">
        <v>0.56866026741469633</v>
      </c>
      <c r="AF37">
        <v>0.56125321699575581</v>
      </c>
      <c r="AG37">
        <v>0.57570931792564084</v>
      </c>
      <c r="AH37">
        <v>0.62515084761809969</v>
      </c>
      <c r="AI37">
        <v>0.77347359124031034</v>
      </c>
      <c r="AJ37">
        <v>1.085117040872345</v>
      </c>
    </row>
    <row r="38" spans="1:39" x14ac:dyDescent="0.45">
      <c r="A38" t="str">
        <f>VLOOKUP(B38,Setup!$B$3:$C$267,2,FALSE)</f>
        <v>Kuwait</v>
      </c>
      <c r="B38" t="s">
        <v>21</v>
      </c>
      <c r="C38">
        <f>COUNT(E38:AM38)</f>
        <v>35</v>
      </c>
      <c r="D38" t="s">
        <v>399</v>
      </c>
      <c r="E38">
        <v>0.52439232373121691</v>
      </c>
      <c r="F38">
        <v>0.72187436929557069</v>
      </c>
      <c r="G38">
        <v>0.71785041493216961</v>
      </c>
      <c r="H38">
        <v>0.72431307814084178</v>
      </c>
      <c r="I38">
        <v>0.73427039631376412</v>
      </c>
      <c r="J38">
        <v>0.935456050393077</v>
      </c>
      <c r="K38">
        <v>0.83021432107030046</v>
      </c>
      <c r="L38">
        <v>0.90845633112409641</v>
      </c>
      <c r="M38">
        <v>0.7370815568723752</v>
      </c>
      <c r="N38">
        <v>0.26730143355171038</v>
      </c>
      <c r="O38">
        <v>0.17724190891200711</v>
      </c>
      <c r="P38">
        <v>0.1716249624047422</v>
      </c>
      <c r="Q38">
        <v>0.23078591724061989</v>
      </c>
      <c r="R38">
        <v>0.30026251247858621</v>
      </c>
      <c r="S38">
        <v>0.33652204346119979</v>
      </c>
      <c r="T38">
        <v>0.46967968979113039</v>
      </c>
      <c r="U38">
        <v>0.60729779295516351</v>
      </c>
      <c r="V38">
        <v>0.54692083710481254</v>
      </c>
      <c r="W38">
        <v>0.45389488604444139</v>
      </c>
      <c r="X38">
        <v>0.56630542056074762</v>
      </c>
      <c r="Y38">
        <v>0.58337066436583263</v>
      </c>
      <c r="Z38">
        <v>0.59464569081529661</v>
      </c>
      <c r="AA38">
        <v>0.5636454354986955</v>
      </c>
      <c r="AB38">
        <v>0.50932667039655499</v>
      </c>
      <c r="AC38">
        <v>0.49954142418432618</v>
      </c>
      <c r="AD38">
        <v>0.59579387733804778</v>
      </c>
      <c r="AE38">
        <v>0.57264928141989613</v>
      </c>
      <c r="AF38">
        <v>0.79071926994182884</v>
      </c>
      <c r="AG38">
        <v>0.7463938306575284</v>
      </c>
      <c r="AH38">
        <v>0.60806258189383777</v>
      </c>
      <c r="AI38">
        <v>0.55743368272945515</v>
      </c>
      <c r="AJ38">
        <v>0.59751887354110966</v>
      </c>
      <c r="AK38">
        <v>0.67640715737781454</v>
      </c>
      <c r="AL38">
        <v>0.98510790393407599</v>
      </c>
      <c r="AM38">
        <v>1.051868128345617</v>
      </c>
    </row>
  </sheetData>
  <sortState xmlns:xlrd2="http://schemas.microsoft.com/office/spreadsheetml/2017/richdata2" ref="C5:AM38">
    <sortCondition ref="C5:C38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902D3-35E6-4FB1-B2E9-492A11A112A0}">
  <dimension ref="C2:AL13"/>
  <sheetViews>
    <sheetView topLeftCell="W1" workbookViewId="0">
      <selection activeCell="C2" sqref="C2:AL13"/>
    </sheetView>
  </sheetViews>
  <sheetFormatPr defaultRowHeight="14.25" x14ac:dyDescent="0.45"/>
  <sheetData>
    <row r="2" spans="3:38" x14ac:dyDescent="0.45">
      <c r="C2" t="s">
        <v>11</v>
      </c>
      <c r="D2">
        <v>0.56573908711533671</v>
      </c>
      <c r="E2">
        <v>0.76224565278598466</v>
      </c>
      <c r="F2">
        <v>0.83747613043474811</v>
      </c>
      <c r="G2">
        <v>0.89668872626034357</v>
      </c>
      <c r="H2">
        <v>1.0138303498408141</v>
      </c>
    </row>
    <row r="3" spans="3:38" x14ac:dyDescent="0.45">
      <c r="C3" t="s">
        <v>19</v>
      </c>
      <c r="D3">
        <v>0.55489547672368578</v>
      </c>
      <c r="E3">
        <v>0.6156088863701592</v>
      </c>
      <c r="F3">
        <v>0.6546272053235479</v>
      </c>
      <c r="G3">
        <v>0.73816426973472704</v>
      </c>
      <c r="H3">
        <v>0.84323673857974912</v>
      </c>
      <c r="I3">
        <v>1.037327699600874</v>
      </c>
    </row>
    <row r="4" spans="3:38" x14ac:dyDescent="0.45">
      <c r="C4" t="s">
        <v>28</v>
      </c>
      <c r="D4">
        <v>0.57761442729939427</v>
      </c>
      <c r="E4">
        <v>0.62732928184612691</v>
      </c>
      <c r="F4">
        <v>0.69926892283232067</v>
      </c>
      <c r="G4">
        <v>0.74890131992457587</v>
      </c>
      <c r="H4">
        <v>0.88174648250935828</v>
      </c>
      <c r="I4">
        <v>1.014660446406124</v>
      </c>
    </row>
    <row r="5" spans="3:38" x14ac:dyDescent="0.45">
      <c r="C5" t="s">
        <v>37</v>
      </c>
      <c r="D5">
        <v>0.58722430788458657</v>
      </c>
      <c r="E5">
        <v>0.60466787782507891</v>
      </c>
      <c r="F5">
        <v>0.65359542373759494</v>
      </c>
      <c r="G5">
        <v>0.85639687383950036</v>
      </c>
      <c r="H5">
        <v>0.82872770965200881</v>
      </c>
      <c r="I5">
        <v>1.0332235376964529</v>
      </c>
    </row>
    <row r="6" spans="3:38" x14ac:dyDescent="0.45">
      <c r="C6" t="s">
        <v>18</v>
      </c>
      <c r="D6">
        <v>0.63789220262941726</v>
      </c>
      <c r="E6">
        <v>0.61405869678169789</v>
      </c>
      <c r="F6">
        <v>0.69988926929005313</v>
      </c>
      <c r="G6">
        <v>0.92357949748270007</v>
      </c>
      <c r="H6">
        <v>0.94088912065708352</v>
      </c>
      <c r="I6">
        <v>0.99511216813059533</v>
      </c>
    </row>
    <row r="7" spans="3:38" x14ac:dyDescent="0.45">
      <c r="C7" t="s">
        <v>20</v>
      </c>
      <c r="D7">
        <v>0.50146287165566039</v>
      </c>
      <c r="E7">
        <v>0.54801784828600075</v>
      </c>
      <c r="F7">
        <v>0.59608694098226811</v>
      </c>
      <c r="G7">
        <v>0.64488125567533716</v>
      </c>
      <c r="H7">
        <v>0.69186672361226909</v>
      </c>
      <c r="I7">
        <v>0.99608241094077699</v>
      </c>
    </row>
    <row r="8" spans="3:38" x14ac:dyDescent="0.45">
      <c r="C8" t="s">
        <v>22</v>
      </c>
      <c r="D8">
        <v>0.54550737382668524</v>
      </c>
      <c r="E8">
        <v>0.65548293858870854</v>
      </c>
      <c r="F8">
        <v>0.79377498363157328</v>
      </c>
      <c r="G8">
        <v>0.45735857244855932</v>
      </c>
      <c r="H8">
        <v>0.48948358208563719</v>
      </c>
      <c r="I8">
        <v>0.42968591913577397</v>
      </c>
      <c r="J8">
        <v>0.48816395863420731</v>
      </c>
      <c r="K8">
        <v>0.54944632552265449</v>
      </c>
      <c r="L8">
        <v>0.60548535978399209</v>
      </c>
      <c r="M8">
        <v>0.66139999999999999</v>
      </c>
      <c r="N8">
        <v>0.73891315155455273</v>
      </c>
      <c r="O8">
        <v>0.82267475117263478</v>
      </c>
      <c r="P8">
        <v>0.87901614142966944</v>
      </c>
      <c r="Q8">
        <v>0.86022851129402023</v>
      </c>
      <c r="R8">
        <v>0.82574567054585757</v>
      </c>
      <c r="S8">
        <v>0.78642870355078442</v>
      </c>
      <c r="T8">
        <v>0.78125687195620552</v>
      </c>
      <c r="U8">
        <v>0.69669526446321384</v>
      </c>
      <c r="V8">
        <v>0.71811094223920502</v>
      </c>
      <c r="W8">
        <v>0.74106420124924055</v>
      </c>
      <c r="X8">
        <v>0.76275272711160935</v>
      </c>
      <c r="Y8">
        <v>0.72044693613297706</v>
      </c>
      <c r="Z8">
        <v>0.82528480012555017</v>
      </c>
      <c r="AA8">
        <v>0.89987856569182023</v>
      </c>
      <c r="AB8">
        <v>0.89955330272469625</v>
      </c>
      <c r="AC8">
        <v>0.93317292930294249</v>
      </c>
      <c r="AD8">
        <v>0.98225547584796746</v>
      </c>
      <c r="AE8">
        <v>1.0056612386642889</v>
      </c>
    </row>
    <row r="9" spans="3:38" x14ac:dyDescent="0.45">
      <c r="C9" t="s">
        <v>26</v>
      </c>
      <c r="D9">
        <v>0.51409686953438372</v>
      </c>
      <c r="E9">
        <v>0.6323991334734389</v>
      </c>
      <c r="F9">
        <v>0.50057895560290788</v>
      </c>
      <c r="G9">
        <v>0.52215794301262175</v>
      </c>
      <c r="H9">
        <v>0.47911084926459568</v>
      </c>
      <c r="I9">
        <v>0.49160776571045189</v>
      </c>
      <c r="J9">
        <v>0.48312986862666413</v>
      </c>
      <c r="K9">
        <v>0.47639723059300948</v>
      </c>
      <c r="L9">
        <v>0.52275602602408322</v>
      </c>
      <c r="M9">
        <v>0.52331731609077659</v>
      </c>
      <c r="N9">
        <v>0.52437273926450745</v>
      </c>
      <c r="O9">
        <v>0.56775773442700628</v>
      </c>
      <c r="P9">
        <v>0.60565089119022286</v>
      </c>
      <c r="Q9">
        <v>0.59486949244209297</v>
      </c>
      <c r="R9">
        <v>0.582139101698536</v>
      </c>
      <c r="S9">
        <v>0.59683555573894653</v>
      </c>
      <c r="T9">
        <v>0.62338695614680661</v>
      </c>
      <c r="U9">
        <v>0.61355647683085457</v>
      </c>
      <c r="V9">
        <v>0.71087541822623013</v>
      </c>
      <c r="W9">
        <v>0.72676913860466064</v>
      </c>
      <c r="X9">
        <v>0.73873602743830924</v>
      </c>
      <c r="Y9">
        <v>0.78437293201907987</v>
      </c>
      <c r="Z9">
        <v>0.8290334166505402</v>
      </c>
      <c r="AA9">
        <v>0.87317407511624734</v>
      </c>
      <c r="AB9">
        <v>0.95746460094217301</v>
      </c>
      <c r="AC9">
        <v>0.97404489181664333</v>
      </c>
      <c r="AD9">
        <v>0.97574842720119037</v>
      </c>
      <c r="AE9">
        <v>1.0320185889313731</v>
      </c>
    </row>
    <row r="10" spans="3:38" x14ac:dyDescent="0.45">
      <c r="C10" t="s">
        <v>32</v>
      </c>
      <c r="D10">
        <v>0.53255108556832698</v>
      </c>
      <c r="E10">
        <v>0.65079763130932688</v>
      </c>
      <c r="F10">
        <v>0.42060651138019728</v>
      </c>
      <c r="G10">
        <v>0.35591400794504319</v>
      </c>
      <c r="H10">
        <v>0.34696172232748251</v>
      </c>
      <c r="I10">
        <v>0.31127184350048043</v>
      </c>
      <c r="J10">
        <v>0.30550043992924159</v>
      </c>
      <c r="K10">
        <v>0.38755958381025418</v>
      </c>
      <c r="L10">
        <v>0.34762918135266341</v>
      </c>
      <c r="M10">
        <v>0.26848992977137021</v>
      </c>
      <c r="N10">
        <v>0.3489328477443609</v>
      </c>
      <c r="O10">
        <v>0.28678248964303948</v>
      </c>
      <c r="P10">
        <v>0.29988158248018398</v>
      </c>
      <c r="Q10">
        <v>0.28984866507375862</v>
      </c>
      <c r="R10">
        <v>0.33721586639603679</v>
      </c>
      <c r="S10">
        <v>0.35997458158665407</v>
      </c>
      <c r="T10">
        <v>0.41576840759326139</v>
      </c>
      <c r="U10">
        <v>0.40801185462709411</v>
      </c>
      <c r="V10">
        <v>0.51735108684049369</v>
      </c>
      <c r="W10">
        <v>0.45242405495074478</v>
      </c>
      <c r="X10">
        <v>0.39753024879564841</v>
      </c>
      <c r="Y10">
        <v>0.37128439552166381</v>
      </c>
      <c r="Z10">
        <v>0.4000531900039952</v>
      </c>
      <c r="AA10">
        <v>0.46096780291424322</v>
      </c>
      <c r="AB10">
        <v>0.70842532862944663</v>
      </c>
      <c r="AC10">
        <v>0.79760609083749012</v>
      </c>
      <c r="AD10">
        <v>0.80081674144484749</v>
      </c>
      <c r="AE10">
        <v>0.80436747235292361</v>
      </c>
      <c r="AF10">
        <v>1.0063605496641701</v>
      </c>
    </row>
    <row r="11" spans="3:38" x14ac:dyDescent="0.45">
      <c r="C11" t="s">
        <v>38</v>
      </c>
      <c r="D11">
        <v>0.58716657739689337</v>
      </c>
      <c r="E11">
        <v>0.57402718943946407</v>
      </c>
      <c r="F11">
        <v>0.56836563136005658</v>
      </c>
      <c r="G11">
        <v>0.54801340745585347</v>
      </c>
      <c r="H11">
        <v>0.56189022173754999</v>
      </c>
      <c r="I11">
        <v>0.57638229084191084</v>
      </c>
      <c r="J11">
        <v>0.58124104156712852</v>
      </c>
      <c r="K11">
        <v>0.57208691499522446</v>
      </c>
      <c r="L11">
        <v>0.5794372481913096</v>
      </c>
      <c r="M11">
        <v>0.5501493439533478</v>
      </c>
      <c r="N11">
        <v>0.5669019855026789</v>
      </c>
      <c r="O11">
        <v>0.54732694296174156</v>
      </c>
      <c r="P11">
        <v>0.53874822407144307</v>
      </c>
      <c r="Q11">
        <v>0.5340694357785899</v>
      </c>
      <c r="R11">
        <v>0.52068010550113042</v>
      </c>
      <c r="S11">
        <v>0.50085299481597423</v>
      </c>
      <c r="T11">
        <v>0.53922117960826532</v>
      </c>
      <c r="U11">
        <v>0.55294823963291739</v>
      </c>
      <c r="V11">
        <v>0.5884009292691802</v>
      </c>
      <c r="W11">
        <v>0.61759566158441626</v>
      </c>
      <c r="X11">
        <v>0.65197690363986938</v>
      </c>
      <c r="Y11">
        <v>0.64857384051832145</v>
      </c>
      <c r="Z11">
        <v>0.65225413380819131</v>
      </c>
      <c r="AA11">
        <v>0.66753346193546204</v>
      </c>
      <c r="AB11">
        <v>0.69140792886254165</v>
      </c>
      <c r="AC11">
        <v>0.71938198922505647</v>
      </c>
      <c r="AD11">
        <v>0.90983076724859879</v>
      </c>
      <c r="AE11">
        <v>0.9582825572459589</v>
      </c>
      <c r="AF11">
        <v>1.0105860317314681</v>
      </c>
    </row>
    <row r="12" spans="3:38" x14ac:dyDescent="0.45">
      <c r="C12" t="s">
        <v>25</v>
      </c>
      <c r="D12">
        <v>0.52428203415704611</v>
      </c>
      <c r="E12">
        <v>0.63188618632400184</v>
      </c>
      <c r="F12">
        <v>0.61091471857945756</v>
      </c>
      <c r="G12">
        <v>0.56016835660991005</v>
      </c>
      <c r="H12">
        <v>0.59636472314296585</v>
      </c>
      <c r="I12">
        <v>0.63597552560150894</v>
      </c>
      <c r="J12">
        <v>0.62642857142857145</v>
      </c>
      <c r="K12">
        <v>0.65594266374676491</v>
      </c>
      <c r="L12">
        <v>0.66061665688251348</v>
      </c>
      <c r="M12">
        <v>0.79743691987328591</v>
      </c>
      <c r="N12">
        <v>0.79036804076514278</v>
      </c>
      <c r="O12">
        <v>0.7426614655694489</v>
      </c>
      <c r="P12">
        <v>0.77819463392451116</v>
      </c>
      <c r="Q12">
        <v>0.84350684080674942</v>
      </c>
      <c r="R12">
        <v>0.78936586085449278</v>
      </c>
      <c r="S12">
        <v>0.80481805672349216</v>
      </c>
      <c r="T12">
        <v>0.71969393198079734</v>
      </c>
      <c r="U12">
        <v>0.63403788648570181</v>
      </c>
      <c r="V12">
        <v>0.54579375211077341</v>
      </c>
      <c r="W12">
        <v>0.48219402240464421</v>
      </c>
      <c r="X12">
        <v>0.40720756131268893</v>
      </c>
      <c r="Y12">
        <v>0.43901689678180977</v>
      </c>
      <c r="Z12">
        <v>0.40915157040348188</v>
      </c>
      <c r="AA12">
        <v>0.47311519020657172</v>
      </c>
      <c r="AB12">
        <v>0.53282047450471126</v>
      </c>
      <c r="AC12">
        <v>0.57455805008788874</v>
      </c>
      <c r="AD12">
        <v>0.56866026741469633</v>
      </c>
      <c r="AE12">
        <v>0.56125321699575581</v>
      </c>
      <c r="AF12">
        <v>0.57570931792564084</v>
      </c>
      <c r="AG12">
        <v>0.62515084761809969</v>
      </c>
      <c r="AH12">
        <v>0.77347359124031034</v>
      </c>
      <c r="AI12">
        <v>1.085117040872345</v>
      </c>
    </row>
    <row r="13" spans="3:38" x14ac:dyDescent="0.45">
      <c r="C13" t="s">
        <v>21</v>
      </c>
      <c r="D13">
        <v>0.52439232373121691</v>
      </c>
      <c r="E13">
        <v>0.72187436929557069</v>
      </c>
      <c r="F13">
        <v>0.71785041493216961</v>
      </c>
      <c r="G13">
        <v>0.72431307814084178</v>
      </c>
      <c r="H13">
        <v>0.73427039631376412</v>
      </c>
      <c r="I13">
        <v>0.935456050393077</v>
      </c>
      <c r="J13">
        <v>0.83021432107030046</v>
      </c>
      <c r="K13">
        <v>0.90845633112409641</v>
      </c>
      <c r="L13">
        <v>0.7370815568723752</v>
      </c>
      <c r="M13">
        <v>0.26730143355171038</v>
      </c>
      <c r="N13">
        <v>0.17724190891200711</v>
      </c>
      <c r="O13">
        <v>0.1716249624047422</v>
      </c>
      <c r="P13">
        <v>0.23078591724061989</v>
      </c>
      <c r="Q13">
        <v>0.30026251247858621</v>
      </c>
      <c r="R13">
        <v>0.33652204346119979</v>
      </c>
      <c r="S13">
        <v>0.46967968979113039</v>
      </c>
      <c r="T13">
        <v>0.60729779295516351</v>
      </c>
      <c r="U13">
        <v>0.54692083710481254</v>
      </c>
      <c r="V13">
        <v>0.45389488604444139</v>
      </c>
      <c r="W13">
        <v>0.56630542056074762</v>
      </c>
      <c r="X13">
        <v>0.58337066436583263</v>
      </c>
      <c r="Y13">
        <v>0.59464569081529661</v>
      </c>
      <c r="Z13">
        <v>0.5636454354986955</v>
      </c>
      <c r="AA13">
        <v>0.50932667039655499</v>
      </c>
      <c r="AB13">
        <v>0.49954142418432618</v>
      </c>
      <c r="AC13">
        <v>0.59579387733804778</v>
      </c>
      <c r="AD13">
        <v>0.57264928141989613</v>
      </c>
      <c r="AE13">
        <v>0.79071926994182884</v>
      </c>
      <c r="AF13">
        <v>0.7463938306575284</v>
      </c>
      <c r="AG13">
        <v>0.60806258189383777</v>
      </c>
      <c r="AH13">
        <v>0.55743368272945515</v>
      </c>
      <c r="AI13">
        <v>0.59751887354110966</v>
      </c>
      <c r="AJ13">
        <v>0.67640715737781454</v>
      </c>
      <c r="AK13">
        <v>0.98510790393407599</v>
      </c>
      <c r="AL13">
        <v>1.051868128345617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783AF-EAE3-43FC-BDEC-6FCB554241E2}">
  <dimension ref="B3:C267"/>
  <sheetViews>
    <sheetView topLeftCell="A244" workbookViewId="0">
      <selection activeCell="B3" sqref="B3:C267"/>
    </sheetView>
  </sheetViews>
  <sheetFormatPr defaultRowHeight="14.25" x14ac:dyDescent="0.45"/>
  <sheetData>
    <row r="3" spans="2:3" x14ac:dyDescent="0.45">
      <c r="B3" t="s">
        <v>42</v>
      </c>
      <c r="C3" t="s">
        <v>273</v>
      </c>
    </row>
    <row r="4" spans="2:3" x14ac:dyDescent="0.45">
      <c r="B4" t="s">
        <v>43</v>
      </c>
      <c r="C4" t="s">
        <v>274</v>
      </c>
    </row>
    <row r="5" spans="2:3" x14ac:dyDescent="0.45">
      <c r="B5" t="s">
        <v>44</v>
      </c>
      <c r="C5" t="s">
        <v>275</v>
      </c>
    </row>
    <row r="6" spans="2:3" x14ac:dyDescent="0.45">
      <c r="B6" t="s">
        <v>45</v>
      </c>
      <c r="C6" t="s">
        <v>276</v>
      </c>
    </row>
    <row r="7" spans="2:3" x14ac:dyDescent="0.45">
      <c r="B7" t="s">
        <v>46</v>
      </c>
      <c r="C7" t="s">
        <v>277</v>
      </c>
    </row>
    <row r="8" spans="2:3" x14ac:dyDescent="0.45">
      <c r="B8" t="s">
        <v>47</v>
      </c>
      <c r="C8" t="s">
        <v>278</v>
      </c>
    </row>
    <row r="9" spans="2:3" x14ac:dyDescent="0.45">
      <c r="B9" t="s">
        <v>48</v>
      </c>
      <c r="C9" t="s">
        <v>279</v>
      </c>
    </row>
    <row r="10" spans="2:3" x14ac:dyDescent="0.45">
      <c r="B10" t="s">
        <v>49</v>
      </c>
      <c r="C10" t="s">
        <v>280</v>
      </c>
    </row>
    <row r="11" spans="2:3" x14ac:dyDescent="0.45">
      <c r="B11" t="s">
        <v>50</v>
      </c>
      <c r="C11" t="s">
        <v>281</v>
      </c>
    </row>
    <row r="12" spans="2:3" x14ac:dyDescent="0.45">
      <c r="B12" t="s">
        <v>51</v>
      </c>
      <c r="C12" t="s">
        <v>282</v>
      </c>
    </row>
    <row r="13" spans="2:3" x14ac:dyDescent="0.45">
      <c r="B13" t="s">
        <v>52</v>
      </c>
      <c r="C13" t="s">
        <v>283</v>
      </c>
    </row>
    <row r="14" spans="2:3" x14ac:dyDescent="0.45">
      <c r="B14" t="s">
        <v>53</v>
      </c>
      <c r="C14" t="s">
        <v>284</v>
      </c>
    </row>
    <row r="15" spans="2:3" x14ac:dyDescent="0.45">
      <c r="B15" t="s">
        <v>54</v>
      </c>
      <c r="C15" t="s">
        <v>285</v>
      </c>
    </row>
    <row r="16" spans="2:3" x14ac:dyDescent="0.45">
      <c r="B16" t="s">
        <v>5</v>
      </c>
      <c r="C16" t="s">
        <v>286</v>
      </c>
    </row>
    <row r="17" spans="2:3" x14ac:dyDescent="0.45">
      <c r="B17" t="s">
        <v>55</v>
      </c>
      <c r="C17" t="s">
        <v>287</v>
      </c>
    </row>
    <row r="18" spans="2:3" x14ac:dyDescent="0.45">
      <c r="B18" t="s">
        <v>56</v>
      </c>
      <c r="C18" t="s">
        <v>288</v>
      </c>
    </row>
    <row r="19" spans="2:3" x14ac:dyDescent="0.45">
      <c r="B19" t="s">
        <v>57</v>
      </c>
      <c r="C19" t="s">
        <v>289</v>
      </c>
    </row>
    <row r="20" spans="2:3" x14ac:dyDescent="0.45">
      <c r="B20" t="s">
        <v>58</v>
      </c>
      <c r="C20" t="s">
        <v>290</v>
      </c>
    </row>
    <row r="21" spans="2:3" x14ac:dyDescent="0.45">
      <c r="B21" t="s">
        <v>59</v>
      </c>
      <c r="C21" t="s">
        <v>291</v>
      </c>
    </row>
    <row r="22" spans="2:3" x14ac:dyDescent="0.45">
      <c r="B22" t="s">
        <v>60</v>
      </c>
      <c r="C22" t="s">
        <v>292</v>
      </c>
    </row>
    <row r="23" spans="2:3" x14ac:dyDescent="0.45">
      <c r="B23" t="s">
        <v>61</v>
      </c>
      <c r="C23" t="s">
        <v>293</v>
      </c>
    </row>
    <row r="24" spans="2:3" x14ac:dyDescent="0.45">
      <c r="B24" t="s">
        <v>62</v>
      </c>
      <c r="C24" t="s">
        <v>294</v>
      </c>
    </row>
    <row r="25" spans="2:3" x14ac:dyDescent="0.45">
      <c r="B25" t="s">
        <v>63</v>
      </c>
      <c r="C25" t="s">
        <v>295</v>
      </c>
    </row>
    <row r="26" spans="2:3" x14ac:dyDescent="0.45">
      <c r="B26" t="s">
        <v>64</v>
      </c>
      <c r="C26" t="s">
        <v>296</v>
      </c>
    </row>
    <row r="27" spans="2:3" x14ac:dyDescent="0.45">
      <c r="B27" t="s">
        <v>65</v>
      </c>
      <c r="C27" t="s">
        <v>297</v>
      </c>
    </row>
    <row r="28" spans="2:3" x14ac:dyDescent="0.45">
      <c r="B28" t="s">
        <v>66</v>
      </c>
      <c r="C28" t="s">
        <v>298</v>
      </c>
    </row>
    <row r="29" spans="2:3" x14ac:dyDescent="0.45">
      <c r="B29" t="s">
        <v>67</v>
      </c>
      <c r="C29" t="s">
        <v>299</v>
      </c>
    </row>
    <row r="30" spans="2:3" x14ac:dyDescent="0.45">
      <c r="B30" t="s">
        <v>68</v>
      </c>
      <c r="C30" t="s">
        <v>300</v>
      </c>
    </row>
    <row r="31" spans="2:3" x14ac:dyDescent="0.45">
      <c r="B31" t="s">
        <v>69</v>
      </c>
      <c r="C31" t="s">
        <v>301</v>
      </c>
    </row>
    <row r="32" spans="2:3" x14ac:dyDescent="0.45">
      <c r="B32" t="s">
        <v>6</v>
      </c>
      <c r="C32" t="s">
        <v>302</v>
      </c>
    </row>
    <row r="33" spans="2:3" x14ac:dyDescent="0.45">
      <c r="B33" t="s">
        <v>70</v>
      </c>
      <c r="C33" t="s">
        <v>303</v>
      </c>
    </row>
    <row r="34" spans="2:3" x14ac:dyDescent="0.45">
      <c r="B34" t="s">
        <v>71</v>
      </c>
      <c r="C34" t="s">
        <v>304</v>
      </c>
    </row>
    <row r="35" spans="2:3" x14ac:dyDescent="0.45">
      <c r="B35" t="s">
        <v>72</v>
      </c>
      <c r="C35" t="s">
        <v>305</v>
      </c>
    </row>
    <row r="36" spans="2:3" x14ac:dyDescent="0.45">
      <c r="B36" t="s">
        <v>73</v>
      </c>
      <c r="C36" t="s">
        <v>306</v>
      </c>
    </row>
    <row r="37" spans="2:3" x14ac:dyDescent="0.45">
      <c r="B37" t="s">
        <v>74</v>
      </c>
      <c r="C37" t="s">
        <v>307</v>
      </c>
    </row>
    <row r="38" spans="2:3" x14ac:dyDescent="0.45">
      <c r="B38" t="s">
        <v>7</v>
      </c>
      <c r="C38" t="s">
        <v>308</v>
      </c>
    </row>
    <row r="39" spans="2:3" x14ac:dyDescent="0.45">
      <c r="B39" t="s">
        <v>75</v>
      </c>
      <c r="C39" t="s">
        <v>309</v>
      </c>
    </row>
    <row r="40" spans="2:3" x14ac:dyDescent="0.45">
      <c r="B40" t="s">
        <v>76</v>
      </c>
      <c r="C40" t="s">
        <v>310</v>
      </c>
    </row>
    <row r="41" spans="2:3" x14ac:dyDescent="0.45">
      <c r="B41" t="s">
        <v>77</v>
      </c>
      <c r="C41" t="s">
        <v>311</v>
      </c>
    </row>
    <row r="42" spans="2:3" x14ac:dyDescent="0.45">
      <c r="B42" t="s">
        <v>78</v>
      </c>
      <c r="C42" t="s">
        <v>312</v>
      </c>
    </row>
    <row r="43" spans="2:3" x14ac:dyDescent="0.45">
      <c r="B43" t="s">
        <v>8</v>
      </c>
      <c r="C43" t="s">
        <v>313</v>
      </c>
    </row>
    <row r="44" spans="2:3" x14ac:dyDescent="0.45">
      <c r="B44" t="s">
        <v>79</v>
      </c>
      <c r="C44" t="s">
        <v>314</v>
      </c>
    </row>
    <row r="45" spans="2:3" x14ac:dyDescent="0.45">
      <c r="B45" t="s">
        <v>80</v>
      </c>
      <c r="C45" t="s">
        <v>315</v>
      </c>
    </row>
    <row r="46" spans="2:3" x14ac:dyDescent="0.45">
      <c r="B46" t="s">
        <v>81</v>
      </c>
      <c r="C46" t="s">
        <v>316</v>
      </c>
    </row>
    <row r="47" spans="2:3" x14ac:dyDescent="0.45">
      <c r="B47" t="s">
        <v>82</v>
      </c>
      <c r="C47" t="s">
        <v>317</v>
      </c>
    </row>
    <row r="48" spans="2:3" x14ac:dyDescent="0.45">
      <c r="B48" t="s">
        <v>83</v>
      </c>
      <c r="C48" t="s">
        <v>318</v>
      </c>
    </row>
    <row r="49" spans="2:3" x14ac:dyDescent="0.45">
      <c r="B49" t="s">
        <v>84</v>
      </c>
      <c r="C49" t="s">
        <v>319</v>
      </c>
    </row>
    <row r="50" spans="2:3" x14ac:dyDescent="0.45">
      <c r="B50" t="s">
        <v>85</v>
      </c>
      <c r="C50" t="s">
        <v>320</v>
      </c>
    </row>
    <row r="51" spans="2:3" x14ac:dyDescent="0.45">
      <c r="B51" t="s">
        <v>86</v>
      </c>
      <c r="C51" t="s">
        <v>321</v>
      </c>
    </row>
    <row r="52" spans="2:3" x14ac:dyDescent="0.45">
      <c r="B52" t="s">
        <v>87</v>
      </c>
      <c r="C52" t="s">
        <v>322</v>
      </c>
    </row>
    <row r="53" spans="2:3" x14ac:dyDescent="0.45">
      <c r="B53" t="s">
        <v>88</v>
      </c>
      <c r="C53" t="s">
        <v>323</v>
      </c>
    </row>
    <row r="54" spans="2:3" x14ac:dyDescent="0.45">
      <c r="B54" t="s">
        <v>89</v>
      </c>
      <c r="C54" t="s">
        <v>324</v>
      </c>
    </row>
    <row r="55" spans="2:3" x14ac:dyDescent="0.45">
      <c r="B55" t="s">
        <v>90</v>
      </c>
      <c r="C55" t="s">
        <v>325</v>
      </c>
    </row>
    <row r="56" spans="2:3" x14ac:dyDescent="0.45">
      <c r="B56" t="s">
        <v>91</v>
      </c>
      <c r="C56" t="s">
        <v>326</v>
      </c>
    </row>
    <row r="57" spans="2:3" x14ac:dyDescent="0.45">
      <c r="B57" t="s">
        <v>92</v>
      </c>
      <c r="C57" t="s">
        <v>327</v>
      </c>
    </row>
    <row r="58" spans="2:3" x14ac:dyDescent="0.45">
      <c r="B58" t="s">
        <v>93</v>
      </c>
      <c r="C58" t="s">
        <v>328</v>
      </c>
    </row>
    <row r="59" spans="2:3" x14ac:dyDescent="0.45">
      <c r="B59" t="s">
        <v>94</v>
      </c>
      <c r="C59" t="s">
        <v>329</v>
      </c>
    </row>
    <row r="60" spans="2:3" x14ac:dyDescent="0.45">
      <c r="B60" t="s">
        <v>95</v>
      </c>
      <c r="C60" t="s">
        <v>330</v>
      </c>
    </row>
    <row r="61" spans="2:3" x14ac:dyDescent="0.45">
      <c r="B61" t="s">
        <v>9</v>
      </c>
      <c r="C61" t="s">
        <v>331</v>
      </c>
    </row>
    <row r="62" spans="2:3" x14ac:dyDescent="0.45">
      <c r="B62" t="s">
        <v>96</v>
      </c>
      <c r="C62" t="s">
        <v>332</v>
      </c>
    </row>
    <row r="63" spans="2:3" x14ac:dyDescent="0.45">
      <c r="B63" t="s">
        <v>97</v>
      </c>
      <c r="C63" t="s">
        <v>333</v>
      </c>
    </row>
    <row r="64" spans="2:3" x14ac:dyDescent="0.45">
      <c r="B64" t="s">
        <v>10</v>
      </c>
      <c r="C64" t="s">
        <v>334</v>
      </c>
    </row>
    <row r="65" spans="2:3" x14ac:dyDescent="0.45">
      <c r="B65" t="s">
        <v>98</v>
      </c>
      <c r="C65" t="s">
        <v>335</v>
      </c>
    </row>
    <row r="66" spans="2:3" x14ac:dyDescent="0.45">
      <c r="B66" t="s">
        <v>99</v>
      </c>
      <c r="C66" t="s">
        <v>336</v>
      </c>
    </row>
    <row r="67" spans="2:3" x14ac:dyDescent="0.45">
      <c r="B67" t="s">
        <v>100</v>
      </c>
      <c r="C67" t="s">
        <v>337</v>
      </c>
    </row>
    <row r="68" spans="2:3" x14ac:dyDescent="0.45">
      <c r="B68" t="s">
        <v>101</v>
      </c>
      <c r="C68" t="s">
        <v>338</v>
      </c>
    </row>
    <row r="69" spans="2:3" x14ac:dyDescent="0.45">
      <c r="B69" t="s">
        <v>102</v>
      </c>
      <c r="C69" t="s">
        <v>339</v>
      </c>
    </row>
    <row r="70" spans="2:3" x14ac:dyDescent="0.45">
      <c r="B70" t="s">
        <v>103</v>
      </c>
      <c r="C70" t="s">
        <v>340</v>
      </c>
    </row>
    <row r="71" spans="2:3" x14ac:dyDescent="0.45">
      <c r="B71" t="s">
        <v>104</v>
      </c>
      <c r="C71" t="s">
        <v>341</v>
      </c>
    </row>
    <row r="72" spans="2:3" x14ac:dyDescent="0.45">
      <c r="B72" t="s">
        <v>105</v>
      </c>
      <c r="C72" t="s">
        <v>342</v>
      </c>
    </row>
    <row r="73" spans="2:3" x14ac:dyDescent="0.45">
      <c r="B73" t="s">
        <v>106</v>
      </c>
      <c r="C73" t="s">
        <v>343</v>
      </c>
    </row>
    <row r="74" spans="2:3" x14ac:dyDescent="0.45">
      <c r="B74" t="s">
        <v>11</v>
      </c>
      <c r="C74" t="s">
        <v>344</v>
      </c>
    </row>
    <row r="75" spans="2:3" x14ac:dyDescent="0.45">
      <c r="B75" t="s">
        <v>107</v>
      </c>
      <c r="C75" t="s">
        <v>345</v>
      </c>
    </row>
    <row r="76" spans="2:3" x14ac:dyDescent="0.45">
      <c r="B76" t="s">
        <v>108</v>
      </c>
      <c r="C76" t="s">
        <v>346</v>
      </c>
    </row>
    <row r="77" spans="2:3" x14ac:dyDescent="0.45">
      <c r="B77" t="s">
        <v>109</v>
      </c>
      <c r="C77" t="s">
        <v>347</v>
      </c>
    </row>
    <row r="78" spans="2:3" x14ac:dyDescent="0.45">
      <c r="B78" t="s">
        <v>12</v>
      </c>
      <c r="C78" t="s">
        <v>348</v>
      </c>
    </row>
    <row r="79" spans="2:3" x14ac:dyDescent="0.45">
      <c r="B79" t="s">
        <v>13</v>
      </c>
      <c r="C79" t="s">
        <v>349</v>
      </c>
    </row>
    <row r="80" spans="2:3" x14ac:dyDescent="0.45">
      <c r="B80" t="s">
        <v>110</v>
      </c>
      <c r="C80" t="s">
        <v>350</v>
      </c>
    </row>
    <row r="81" spans="2:3" x14ac:dyDescent="0.45">
      <c r="B81" t="s">
        <v>111</v>
      </c>
      <c r="C81" t="s">
        <v>351</v>
      </c>
    </row>
    <row r="82" spans="2:3" x14ac:dyDescent="0.45">
      <c r="B82" t="s">
        <v>112</v>
      </c>
      <c r="C82" t="s">
        <v>352</v>
      </c>
    </row>
    <row r="83" spans="2:3" x14ac:dyDescent="0.45">
      <c r="B83" t="s">
        <v>113</v>
      </c>
      <c r="C83" t="s">
        <v>353</v>
      </c>
    </row>
    <row r="84" spans="2:3" x14ac:dyDescent="0.45">
      <c r="B84" t="s">
        <v>114</v>
      </c>
      <c r="C84" t="s">
        <v>354</v>
      </c>
    </row>
    <row r="85" spans="2:3" x14ac:dyDescent="0.45">
      <c r="B85" t="s">
        <v>115</v>
      </c>
      <c r="C85" t="s">
        <v>355</v>
      </c>
    </row>
    <row r="86" spans="2:3" x14ac:dyDescent="0.45">
      <c r="B86" t="s">
        <v>116</v>
      </c>
      <c r="C86" t="s">
        <v>356</v>
      </c>
    </row>
    <row r="87" spans="2:3" x14ac:dyDescent="0.45">
      <c r="B87" t="s">
        <v>117</v>
      </c>
      <c r="C87" t="s">
        <v>357</v>
      </c>
    </row>
    <row r="88" spans="2:3" x14ac:dyDescent="0.45">
      <c r="B88" t="s">
        <v>118</v>
      </c>
      <c r="C88" t="s">
        <v>358</v>
      </c>
    </row>
    <row r="89" spans="2:3" x14ac:dyDescent="0.45">
      <c r="B89" t="s">
        <v>119</v>
      </c>
      <c r="C89" t="s">
        <v>359</v>
      </c>
    </row>
    <row r="90" spans="2:3" x14ac:dyDescent="0.45">
      <c r="B90" t="s">
        <v>120</v>
      </c>
      <c r="C90" t="s">
        <v>360</v>
      </c>
    </row>
    <row r="91" spans="2:3" x14ac:dyDescent="0.45">
      <c r="B91" t="s">
        <v>121</v>
      </c>
      <c r="C91" t="s">
        <v>361</v>
      </c>
    </row>
    <row r="92" spans="2:3" x14ac:dyDescent="0.45">
      <c r="B92" t="s">
        <v>14</v>
      </c>
      <c r="C92" t="s">
        <v>362</v>
      </c>
    </row>
    <row r="93" spans="2:3" x14ac:dyDescent="0.45">
      <c r="B93" t="s">
        <v>122</v>
      </c>
      <c r="C93" t="s">
        <v>363</v>
      </c>
    </row>
    <row r="94" spans="2:3" x14ac:dyDescent="0.45">
      <c r="B94" t="s">
        <v>123</v>
      </c>
      <c r="C94" t="s">
        <v>364</v>
      </c>
    </row>
    <row r="95" spans="2:3" x14ac:dyDescent="0.45">
      <c r="B95" t="s">
        <v>124</v>
      </c>
      <c r="C95" t="s">
        <v>365</v>
      </c>
    </row>
    <row r="96" spans="2:3" x14ac:dyDescent="0.45">
      <c r="B96" t="s">
        <v>125</v>
      </c>
      <c r="C96" t="s">
        <v>366</v>
      </c>
    </row>
    <row r="97" spans="2:3" x14ac:dyDescent="0.45">
      <c r="B97" t="s">
        <v>126</v>
      </c>
      <c r="C97" t="s">
        <v>367</v>
      </c>
    </row>
    <row r="98" spans="2:3" x14ac:dyDescent="0.45">
      <c r="B98" t="s">
        <v>15</v>
      </c>
      <c r="C98" t="s">
        <v>368</v>
      </c>
    </row>
    <row r="99" spans="2:3" x14ac:dyDescent="0.45">
      <c r="B99" t="s">
        <v>127</v>
      </c>
      <c r="C99" t="s">
        <v>369</v>
      </c>
    </row>
    <row r="100" spans="2:3" x14ac:dyDescent="0.45">
      <c r="B100" t="s">
        <v>128</v>
      </c>
      <c r="C100" t="s">
        <v>370</v>
      </c>
    </row>
    <row r="101" spans="2:3" x14ac:dyDescent="0.45">
      <c r="B101" t="s">
        <v>129</v>
      </c>
      <c r="C101" t="s">
        <v>371</v>
      </c>
    </row>
    <row r="102" spans="2:3" x14ac:dyDescent="0.45">
      <c r="B102" t="s">
        <v>130</v>
      </c>
      <c r="C102" t="s">
        <v>372</v>
      </c>
    </row>
    <row r="103" spans="2:3" x14ac:dyDescent="0.45">
      <c r="B103" t="s">
        <v>131</v>
      </c>
      <c r="C103" t="s">
        <v>373</v>
      </c>
    </row>
    <row r="104" spans="2:3" x14ac:dyDescent="0.45">
      <c r="B104" t="s">
        <v>132</v>
      </c>
      <c r="C104" t="s">
        <v>374</v>
      </c>
    </row>
    <row r="105" spans="2:3" x14ac:dyDescent="0.45">
      <c r="B105" t="s">
        <v>16</v>
      </c>
      <c r="C105" t="s">
        <v>375</v>
      </c>
    </row>
    <row r="106" spans="2:3" x14ac:dyDescent="0.45">
      <c r="B106" t="s">
        <v>17</v>
      </c>
      <c r="C106" t="s">
        <v>376</v>
      </c>
    </row>
    <row r="107" spans="2:3" x14ac:dyDescent="0.45">
      <c r="B107" t="s">
        <v>133</v>
      </c>
      <c r="C107" t="s">
        <v>377</v>
      </c>
    </row>
    <row r="108" spans="2:3" x14ac:dyDescent="0.45">
      <c r="B108" t="s">
        <v>134</v>
      </c>
      <c r="C108" t="s">
        <v>378</v>
      </c>
    </row>
    <row r="109" spans="2:3" x14ac:dyDescent="0.45">
      <c r="B109" t="s">
        <v>135</v>
      </c>
      <c r="C109" t="s">
        <v>379</v>
      </c>
    </row>
    <row r="110" spans="2:3" x14ac:dyDescent="0.45">
      <c r="B110" t="s">
        <v>136</v>
      </c>
      <c r="C110" t="s">
        <v>380</v>
      </c>
    </row>
    <row r="111" spans="2:3" x14ac:dyDescent="0.45">
      <c r="B111" t="s">
        <v>137</v>
      </c>
      <c r="C111" t="s">
        <v>381</v>
      </c>
    </row>
    <row r="112" spans="2:3" x14ac:dyDescent="0.45">
      <c r="B112" t="s">
        <v>138</v>
      </c>
      <c r="C112" t="s">
        <v>382</v>
      </c>
    </row>
    <row r="113" spans="2:3" x14ac:dyDescent="0.45">
      <c r="B113" t="s">
        <v>139</v>
      </c>
      <c r="C113" t="s">
        <v>383</v>
      </c>
    </row>
    <row r="114" spans="2:3" x14ac:dyDescent="0.45">
      <c r="B114" t="s">
        <v>140</v>
      </c>
      <c r="C114" t="s">
        <v>384</v>
      </c>
    </row>
    <row r="115" spans="2:3" x14ac:dyDescent="0.45">
      <c r="B115" t="s">
        <v>141</v>
      </c>
      <c r="C115" t="s">
        <v>385</v>
      </c>
    </row>
    <row r="116" spans="2:3" x14ac:dyDescent="0.45">
      <c r="B116" t="s">
        <v>18</v>
      </c>
      <c r="C116" t="s">
        <v>386</v>
      </c>
    </row>
    <row r="117" spans="2:3" x14ac:dyDescent="0.45">
      <c r="B117" t="s">
        <v>142</v>
      </c>
      <c r="C117" t="s">
        <v>387</v>
      </c>
    </row>
    <row r="118" spans="2:3" x14ac:dyDescent="0.45">
      <c r="B118" t="s">
        <v>143</v>
      </c>
      <c r="C118" t="s">
        <v>388</v>
      </c>
    </row>
    <row r="119" spans="2:3" x14ac:dyDescent="0.45">
      <c r="B119" t="s">
        <v>144</v>
      </c>
      <c r="C119" t="s">
        <v>389</v>
      </c>
    </row>
    <row r="120" spans="2:3" x14ac:dyDescent="0.45">
      <c r="B120" t="s">
        <v>145</v>
      </c>
      <c r="C120" t="s">
        <v>390</v>
      </c>
    </row>
    <row r="121" spans="2:3" x14ac:dyDescent="0.45">
      <c r="B121" t="s">
        <v>146</v>
      </c>
      <c r="C121" t="s">
        <v>391</v>
      </c>
    </row>
    <row r="122" spans="2:3" x14ac:dyDescent="0.45">
      <c r="B122" t="s">
        <v>147</v>
      </c>
      <c r="C122" t="s">
        <v>392</v>
      </c>
    </row>
    <row r="123" spans="2:3" x14ac:dyDescent="0.45">
      <c r="B123" t="s">
        <v>148</v>
      </c>
      <c r="C123" t="s">
        <v>393</v>
      </c>
    </row>
    <row r="124" spans="2:3" x14ac:dyDescent="0.45">
      <c r="B124" t="s">
        <v>149</v>
      </c>
      <c r="C124" t="s">
        <v>394</v>
      </c>
    </row>
    <row r="125" spans="2:3" x14ac:dyDescent="0.45">
      <c r="B125" t="s">
        <v>19</v>
      </c>
      <c r="C125" t="s">
        <v>395</v>
      </c>
    </row>
    <row r="126" spans="2:3" x14ac:dyDescent="0.45">
      <c r="B126" t="s">
        <v>150</v>
      </c>
      <c r="C126" t="s">
        <v>396</v>
      </c>
    </row>
    <row r="127" spans="2:3" x14ac:dyDescent="0.45">
      <c r="B127" t="s">
        <v>151</v>
      </c>
      <c r="C127" t="s">
        <v>397</v>
      </c>
    </row>
    <row r="128" spans="2:3" x14ac:dyDescent="0.45">
      <c r="B128" t="s">
        <v>20</v>
      </c>
      <c r="C128" t="s">
        <v>398</v>
      </c>
    </row>
    <row r="129" spans="2:3" x14ac:dyDescent="0.45">
      <c r="B129" t="s">
        <v>21</v>
      </c>
      <c r="C129" t="s">
        <v>399</v>
      </c>
    </row>
    <row r="130" spans="2:3" x14ac:dyDescent="0.45">
      <c r="B130" t="s">
        <v>152</v>
      </c>
      <c r="C130" t="s">
        <v>400</v>
      </c>
    </row>
    <row r="131" spans="2:3" x14ac:dyDescent="0.45">
      <c r="B131" t="s">
        <v>153</v>
      </c>
      <c r="C131" t="s">
        <v>401</v>
      </c>
    </row>
    <row r="132" spans="2:3" x14ac:dyDescent="0.45">
      <c r="B132" t="s">
        <v>22</v>
      </c>
      <c r="C132" t="s">
        <v>402</v>
      </c>
    </row>
    <row r="133" spans="2:3" x14ac:dyDescent="0.45">
      <c r="B133" t="s">
        <v>154</v>
      </c>
      <c r="C133" t="s">
        <v>403</v>
      </c>
    </row>
    <row r="134" spans="2:3" x14ac:dyDescent="0.45">
      <c r="B134" t="s">
        <v>155</v>
      </c>
      <c r="C134" t="s">
        <v>404</v>
      </c>
    </row>
    <row r="135" spans="2:3" x14ac:dyDescent="0.45">
      <c r="B135" t="s">
        <v>156</v>
      </c>
      <c r="C135" t="s">
        <v>405</v>
      </c>
    </row>
    <row r="136" spans="2:3" x14ac:dyDescent="0.45">
      <c r="B136" t="s">
        <v>157</v>
      </c>
      <c r="C136" t="s">
        <v>406</v>
      </c>
    </row>
    <row r="137" spans="2:3" x14ac:dyDescent="0.45">
      <c r="B137" t="s">
        <v>158</v>
      </c>
      <c r="C137" t="s">
        <v>407</v>
      </c>
    </row>
    <row r="138" spans="2:3" x14ac:dyDescent="0.45">
      <c r="B138" t="s">
        <v>159</v>
      </c>
      <c r="C138" t="s">
        <v>408</v>
      </c>
    </row>
    <row r="139" spans="2:3" x14ac:dyDescent="0.45">
      <c r="B139" t="s">
        <v>160</v>
      </c>
      <c r="C139" t="s">
        <v>409</v>
      </c>
    </row>
    <row r="140" spans="2:3" x14ac:dyDescent="0.45">
      <c r="B140" t="s">
        <v>161</v>
      </c>
      <c r="C140" t="s">
        <v>410</v>
      </c>
    </row>
    <row r="141" spans="2:3" x14ac:dyDescent="0.45">
      <c r="B141" t="s">
        <v>162</v>
      </c>
      <c r="C141" t="s">
        <v>411</v>
      </c>
    </row>
    <row r="142" spans="2:3" x14ac:dyDescent="0.45">
      <c r="B142" t="s">
        <v>23</v>
      </c>
      <c r="C142" t="s">
        <v>412</v>
      </c>
    </row>
    <row r="143" spans="2:3" x14ac:dyDescent="0.45">
      <c r="B143" t="s">
        <v>163</v>
      </c>
      <c r="C143" t="s">
        <v>413</v>
      </c>
    </row>
    <row r="144" spans="2:3" x14ac:dyDescent="0.45">
      <c r="B144" t="s">
        <v>24</v>
      </c>
      <c r="C144" t="s">
        <v>414</v>
      </c>
    </row>
    <row r="145" spans="2:3" x14ac:dyDescent="0.45">
      <c r="B145" t="s">
        <v>164</v>
      </c>
      <c r="C145" t="s">
        <v>415</v>
      </c>
    </row>
    <row r="146" spans="2:3" x14ac:dyDescent="0.45">
      <c r="B146" t="s">
        <v>165</v>
      </c>
      <c r="C146" t="s">
        <v>416</v>
      </c>
    </row>
    <row r="147" spans="2:3" x14ac:dyDescent="0.45">
      <c r="B147" t="s">
        <v>166</v>
      </c>
      <c r="C147" t="s">
        <v>417</v>
      </c>
    </row>
    <row r="148" spans="2:3" x14ac:dyDescent="0.45">
      <c r="B148" t="s">
        <v>25</v>
      </c>
      <c r="C148" t="s">
        <v>418</v>
      </c>
    </row>
    <row r="149" spans="2:3" x14ac:dyDescent="0.45">
      <c r="B149" t="s">
        <v>167</v>
      </c>
      <c r="C149" t="s">
        <v>419</v>
      </c>
    </row>
    <row r="150" spans="2:3" x14ac:dyDescent="0.45">
      <c r="B150" t="s">
        <v>168</v>
      </c>
      <c r="C150" t="s">
        <v>420</v>
      </c>
    </row>
    <row r="151" spans="2:3" x14ac:dyDescent="0.45">
      <c r="B151" t="s">
        <v>169</v>
      </c>
      <c r="C151" t="s">
        <v>421</v>
      </c>
    </row>
    <row r="152" spans="2:3" x14ac:dyDescent="0.45">
      <c r="B152" t="s">
        <v>170</v>
      </c>
      <c r="C152" t="s">
        <v>422</v>
      </c>
    </row>
    <row r="153" spans="2:3" x14ac:dyDescent="0.45">
      <c r="B153" t="s">
        <v>171</v>
      </c>
      <c r="C153" t="s">
        <v>423</v>
      </c>
    </row>
    <row r="154" spans="2:3" x14ac:dyDescent="0.45">
      <c r="B154" t="s">
        <v>172</v>
      </c>
      <c r="C154" t="s">
        <v>424</v>
      </c>
    </row>
    <row r="155" spans="2:3" x14ac:dyDescent="0.45">
      <c r="B155" t="s">
        <v>173</v>
      </c>
      <c r="C155" t="s">
        <v>425</v>
      </c>
    </row>
    <row r="156" spans="2:3" x14ac:dyDescent="0.45">
      <c r="B156" t="s">
        <v>174</v>
      </c>
      <c r="C156" t="s">
        <v>426</v>
      </c>
    </row>
    <row r="157" spans="2:3" x14ac:dyDescent="0.45">
      <c r="B157" t="s">
        <v>175</v>
      </c>
      <c r="C157" t="s">
        <v>427</v>
      </c>
    </row>
    <row r="158" spans="2:3" x14ac:dyDescent="0.45">
      <c r="B158" t="s">
        <v>26</v>
      </c>
      <c r="C158" t="s">
        <v>428</v>
      </c>
    </row>
    <row r="159" spans="2:3" x14ac:dyDescent="0.45">
      <c r="B159" t="s">
        <v>176</v>
      </c>
      <c r="C159" t="s">
        <v>429</v>
      </c>
    </row>
    <row r="160" spans="2:3" x14ac:dyDescent="0.45">
      <c r="B160" t="s">
        <v>177</v>
      </c>
      <c r="C160" t="s">
        <v>430</v>
      </c>
    </row>
    <row r="161" spans="2:3" x14ac:dyDescent="0.45">
      <c r="B161" t="s">
        <v>178</v>
      </c>
      <c r="C161" t="s">
        <v>431</v>
      </c>
    </row>
    <row r="162" spans="2:3" x14ac:dyDescent="0.45">
      <c r="B162" t="s">
        <v>179</v>
      </c>
      <c r="C162" t="s">
        <v>432</v>
      </c>
    </row>
    <row r="163" spans="2:3" x14ac:dyDescent="0.45">
      <c r="B163" t="s">
        <v>180</v>
      </c>
      <c r="C163" t="s">
        <v>433</v>
      </c>
    </row>
    <row r="164" spans="2:3" x14ac:dyDescent="0.45">
      <c r="B164" t="s">
        <v>181</v>
      </c>
      <c r="C164" t="s">
        <v>434</v>
      </c>
    </row>
    <row r="165" spans="2:3" x14ac:dyDescent="0.45">
      <c r="B165" t="s">
        <v>182</v>
      </c>
      <c r="C165" t="s">
        <v>435</v>
      </c>
    </row>
    <row r="166" spans="2:3" x14ac:dyDescent="0.45">
      <c r="B166" t="s">
        <v>183</v>
      </c>
      <c r="C166" t="s">
        <v>436</v>
      </c>
    </row>
    <row r="167" spans="2:3" x14ac:dyDescent="0.45">
      <c r="B167" t="s">
        <v>184</v>
      </c>
      <c r="C167" t="s">
        <v>437</v>
      </c>
    </row>
    <row r="168" spans="2:3" x14ac:dyDescent="0.45">
      <c r="B168" t="s">
        <v>185</v>
      </c>
      <c r="C168" t="s">
        <v>438</v>
      </c>
    </row>
    <row r="169" spans="2:3" x14ac:dyDescent="0.45">
      <c r="B169" t="s">
        <v>27</v>
      </c>
      <c r="C169" t="s">
        <v>439</v>
      </c>
    </row>
    <row r="170" spans="2:3" x14ac:dyDescent="0.45">
      <c r="B170" t="s">
        <v>186</v>
      </c>
      <c r="C170" t="s">
        <v>440</v>
      </c>
    </row>
    <row r="171" spans="2:3" x14ac:dyDescent="0.45">
      <c r="B171" t="s">
        <v>28</v>
      </c>
      <c r="C171" t="s">
        <v>441</v>
      </c>
    </row>
    <row r="172" spans="2:3" x14ac:dyDescent="0.45">
      <c r="B172" t="s">
        <v>187</v>
      </c>
      <c r="C172" t="s">
        <v>442</v>
      </c>
    </row>
    <row r="173" spans="2:3" x14ac:dyDescent="0.45">
      <c r="B173" t="s">
        <v>188</v>
      </c>
      <c r="C173" t="s">
        <v>443</v>
      </c>
    </row>
    <row r="174" spans="2:3" x14ac:dyDescent="0.45">
      <c r="B174" t="s">
        <v>189</v>
      </c>
      <c r="C174" t="s">
        <v>444</v>
      </c>
    </row>
    <row r="175" spans="2:3" x14ac:dyDescent="0.45">
      <c r="B175" t="s">
        <v>190</v>
      </c>
      <c r="C175" t="s">
        <v>445</v>
      </c>
    </row>
    <row r="176" spans="2:3" x14ac:dyDescent="0.45">
      <c r="B176" t="s">
        <v>191</v>
      </c>
      <c r="C176" t="s">
        <v>446</v>
      </c>
    </row>
    <row r="177" spans="2:3" x14ac:dyDescent="0.45">
      <c r="B177" t="s">
        <v>192</v>
      </c>
      <c r="C177" t="s">
        <v>447</v>
      </c>
    </row>
    <row r="178" spans="2:3" x14ac:dyDescent="0.45">
      <c r="B178" t="s">
        <v>193</v>
      </c>
      <c r="C178" t="s">
        <v>448</v>
      </c>
    </row>
    <row r="179" spans="2:3" x14ac:dyDescent="0.45">
      <c r="B179" t="s">
        <v>194</v>
      </c>
      <c r="C179" t="s">
        <v>449</v>
      </c>
    </row>
    <row r="180" spans="2:3" x14ac:dyDescent="0.45">
      <c r="B180" t="s">
        <v>29</v>
      </c>
      <c r="C180" t="s">
        <v>450</v>
      </c>
    </row>
    <row r="181" spans="2:3" x14ac:dyDescent="0.45">
      <c r="B181" t="s">
        <v>195</v>
      </c>
      <c r="C181" t="s">
        <v>451</v>
      </c>
    </row>
    <row r="182" spans="2:3" x14ac:dyDescent="0.45">
      <c r="B182" t="s">
        <v>196</v>
      </c>
      <c r="C182" t="s">
        <v>452</v>
      </c>
    </row>
    <row r="183" spans="2:3" x14ac:dyDescent="0.45">
      <c r="B183" t="s">
        <v>30</v>
      </c>
      <c r="C183" t="s">
        <v>453</v>
      </c>
    </row>
    <row r="184" spans="2:3" x14ac:dyDescent="0.45">
      <c r="B184" t="s">
        <v>197</v>
      </c>
      <c r="C184" t="s">
        <v>454</v>
      </c>
    </row>
    <row r="185" spans="2:3" x14ac:dyDescent="0.45">
      <c r="B185" t="s">
        <v>198</v>
      </c>
      <c r="C185" t="s">
        <v>455</v>
      </c>
    </row>
    <row r="186" spans="2:3" x14ac:dyDescent="0.45">
      <c r="B186" t="s">
        <v>199</v>
      </c>
      <c r="C186" t="s">
        <v>456</v>
      </c>
    </row>
    <row r="187" spans="2:3" x14ac:dyDescent="0.45">
      <c r="B187" t="s">
        <v>200</v>
      </c>
      <c r="C187" t="s">
        <v>457</v>
      </c>
    </row>
    <row r="188" spans="2:3" x14ac:dyDescent="0.45">
      <c r="B188" t="s">
        <v>201</v>
      </c>
      <c r="C188" t="s">
        <v>458</v>
      </c>
    </row>
    <row r="189" spans="2:3" x14ac:dyDescent="0.45">
      <c r="B189" t="s">
        <v>202</v>
      </c>
      <c r="C189" t="s">
        <v>459</v>
      </c>
    </row>
    <row r="190" spans="2:3" x14ac:dyDescent="0.45">
      <c r="B190" t="s">
        <v>203</v>
      </c>
      <c r="C190" t="s">
        <v>460</v>
      </c>
    </row>
    <row r="191" spans="2:3" x14ac:dyDescent="0.45">
      <c r="B191" t="s">
        <v>204</v>
      </c>
      <c r="C191" t="s">
        <v>461</v>
      </c>
    </row>
    <row r="192" spans="2:3" x14ac:dyDescent="0.45">
      <c r="B192" t="s">
        <v>205</v>
      </c>
      <c r="C192" t="s">
        <v>462</v>
      </c>
    </row>
    <row r="193" spans="2:3" x14ac:dyDescent="0.45">
      <c r="B193" t="s">
        <v>206</v>
      </c>
      <c r="C193" t="s">
        <v>463</v>
      </c>
    </row>
    <row r="194" spans="2:3" x14ac:dyDescent="0.45">
      <c r="B194" t="s">
        <v>207</v>
      </c>
      <c r="C194" t="s">
        <v>464</v>
      </c>
    </row>
    <row r="195" spans="2:3" x14ac:dyDescent="0.45">
      <c r="B195" t="s">
        <v>208</v>
      </c>
      <c r="C195" t="s">
        <v>465</v>
      </c>
    </row>
    <row r="196" spans="2:3" x14ac:dyDescent="0.45">
      <c r="B196" t="s">
        <v>209</v>
      </c>
      <c r="C196" t="s">
        <v>466</v>
      </c>
    </row>
    <row r="197" spans="2:3" x14ac:dyDescent="0.45">
      <c r="B197" t="s">
        <v>210</v>
      </c>
      <c r="C197" t="s">
        <v>467</v>
      </c>
    </row>
    <row r="198" spans="2:3" x14ac:dyDescent="0.45">
      <c r="B198" t="s">
        <v>211</v>
      </c>
      <c r="C198" t="s">
        <v>468</v>
      </c>
    </row>
    <row r="199" spans="2:3" x14ac:dyDescent="0.45">
      <c r="B199" t="s">
        <v>212</v>
      </c>
      <c r="C199" t="s">
        <v>469</v>
      </c>
    </row>
    <row r="200" spans="2:3" x14ac:dyDescent="0.45">
      <c r="B200" t="s">
        <v>31</v>
      </c>
      <c r="C200" t="s">
        <v>470</v>
      </c>
    </row>
    <row r="201" spans="2:3" x14ac:dyDescent="0.45">
      <c r="B201" t="s">
        <v>213</v>
      </c>
      <c r="C201" t="s">
        <v>471</v>
      </c>
    </row>
    <row r="202" spans="2:3" x14ac:dyDescent="0.45">
      <c r="B202" t="s">
        <v>32</v>
      </c>
      <c r="C202" t="s">
        <v>472</v>
      </c>
    </row>
    <row r="203" spans="2:3" x14ac:dyDescent="0.45">
      <c r="B203" t="s">
        <v>214</v>
      </c>
      <c r="C203" t="s">
        <v>473</v>
      </c>
    </row>
    <row r="204" spans="2:3" x14ac:dyDescent="0.45">
      <c r="B204" t="s">
        <v>215</v>
      </c>
      <c r="C204" t="s">
        <v>474</v>
      </c>
    </row>
    <row r="205" spans="2:3" x14ac:dyDescent="0.45">
      <c r="B205" t="s">
        <v>216</v>
      </c>
      <c r="C205" t="s">
        <v>475</v>
      </c>
    </row>
    <row r="206" spans="2:3" x14ac:dyDescent="0.45">
      <c r="B206" t="s">
        <v>217</v>
      </c>
      <c r="C206" t="s">
        <v>476</v>
      </c>
    </row>
    <row r="207" spans="2:3" x14ac:dyDescent="0.45">
      <c r="B207" t="s">
        <v>218</v>
      </c>
      <c r="C207" t="s">
        <v>477</v>
      </c>
    </row>
    <row r="208" spans="2:3" x14ac:dyDescent="0.45">
      <c r="B208" t="s">
        <v>219</v>
      </c>
      <c r="C208" t="s">
        <v>478</v>
      </c>
    </row>
    <row r="209" spans="2:3" x14ac:dyDescent="0.45">
      <c r="B209" t="s">
        <v>220</v>
      </c>
      <c r="C209" t="s">
        <v>479</v>
      </c>
    </row>
    <row r="210" spans="2:3" x14ac:dyDescent="0.45">
      <c r="B210" t="s">
        <v>33</v>
      </c>
      <c r="C210" t="s">
        <v>480</v>
      </c>
    </row>
    <row r="211" spans="2:3" x14ac:dyDescent="0.45">
      <c r="B211" t="s">
        <v>221</v>
      </c>
      <c r="C211" t="s">
        <v>481</v>
      </c>
    </row>
    <row r="212" spans="2:3" x14ac:dyDescent="0.45">
      <c r="B212" t="s">
        <v>222</v>
      </c>
      <c r="C212" t="s">
        <v>482</v>
      </c>
    </row>
    <row r="213" spans="2:3" x14ac:dyDescent="0.45">
      <c r="B213" t="s">
        <v>223</v>
      </c>
      <c r="C213" t="s">
        <v>483</v>
      </c>
    </row>
    <row r="214" spans="2:3" x14ac:dyDescent="0.45">
      <c r="B214" t="s">
        <v>224</v>
      </c>
      <c r="C214" t="s">
        <v>484</v>
      </c>
    </row>
    <row r="215" spans="2:3" x14ac:dyDescent="0.45">
      <c r="B215" t="s">
        <v>225</v>
      </c>
      <c r="C215" t="s">
        <v>485</v>
      </c>
    </row>
    <row r="216" spans="2:3" x14ac:dyDescent="0.45">
      <c r="B216" t="s">
        <v>226</v>
      </c>
      <c r="C216" t="s">
        <v>486</v>
      </c>
    </row>
    <row r="217" spans="2:3" x14ac:dyDescent="0.45">
      <c r="B217" t="s">
        <v>227</v>
      </c>
      <c r="C217" t="s">
        <v>487</v>
      </c>
    </row>
    <row r="218" spans="2:3" x14ac:dyDescent="0.45">
      <c r="B218" t="s">
        <v>228</v>
      </c>
      <c r="C218" t="s">
        <v>488</v>
      </c>
    </row>
    <row r="219" spans="2:3" x14ac:dyDescent="0.45">
      <c r="B219" t="s">
        <v>229</v>
      </c>
      <c r="C219" t="s">
        <v>489</v>
      </c>
    </row>
    <row r="220" spans="2:3" x14ac:dyDescent="0.45">
      <c r="B220" t="s">
        <v>230</v>
      </c>
      <c r="C220" t="s">
        <v>490</v>
      </c>
    </row>
    <row r="221" spans="2:3" x14ac:dyDescent="0.45">
      <c r="B221" t="s">
        <v>231</v>
      </c>
      <c r="C221" t="s">
        <v>491</v>
      </c>
    </row>
    <row r="222" spans="2:3" x14ac:dyDescent="0.45">
      <c r="B222" t="s">
        <v>232</v>
      </c>
      <c r="C222" t="s">
        <v>492</v>
      </c>
    </row>
    <row r="223" spans="2:3" x14ac:dyDescent="0.45">
      <c r="B223" t="s">
        <v>233</v>
      </c>
      <c r="C223" t="s">
        <v>493</v>
      </c>
    </row>
    <row r="224" spans="2:3" x14ac:dyDescent="0.45">
      <c r="B224" t="s">
        <v>234</v>
      </c>
      <c r="C224" t="s">
        <v>494</v>
      </c>
    </row>
    <row r="225" spans="2:3" x14ac:dyDescent="0.45">
      <c r="B225" t="s">
        <v>34</v>
      </c>
      <c r="C225" t="s">
        <v>495</v>
      </c>
    </row>
    <row r="226" spans="2:3" x14ac:dyDescent="0.45">
      <c r="B226" t="s">
        <v>235</v>
      </c>
      <c r="C226" t="s">
        <v>496</v>
      </c>
    </row>
    <row r="227" spans="2:3" x14ac:dyDescent="0.45">
      <c r="B227" t="s">
        <v>236</v>
      </c>
      <c r="C227" t="s">
        <v>497</v>
      </c>
    </row>
    <row r="228" spans="2:3" x14ac:dyDescent="0.45">
      <c r="B228" t="s">
        <v>237</v>
      </c>
      <c r="C228" t="s">
        <v>498</v>
      </c>
    </row>
    <row r="229" spans="2:3" x14ac:dyDescent="0.45">
      <c r="B229" t="s">
        <v>238</v>
      </c>
      <c r="C229" t="s">
        <v>499</v>
      </c>
    </row>
    <row r="230" spans="2:3" x14ac:dyDescent="0.45">
      <c r="B230" t="s">
        <v>239</v>
      </c>
      <c r="C230" t="s">
        <v>500</v>
      </c>
    </row>
    <row r="231" spans="2:3" x14ac:dyDescent="0.45">
      <c r="B231" t="s">
        <v>240</v>
      </c>
      <c r="C231" t="s">
        <v>501</v>
      </c>
    </row>
    <row r="232" spans="2:3" x14ac:dyDescent="0.45">
      <c r="B232" t="s">
        <v>35</v>
      </c>
      <c r="C232" t="s">
        <v>502</v>
      </c>
    </row>
    <row r="233" spans="2:3" x14ac:dyDescent="0.45">
      <c r="B233" t="s">
        <v>241</v>
      </c>
      <c r="C233" t="s">
        <v>503</v>
      </c>
    </row>
    <row r="234" spans="2:3" x14ac:dyDescent="0.45">
      <c r="B234" t="s">
        <v>242</v>
      </c>
      <c r="C234" t="s">
        <v>504</v>
      </c>
    </row>
    <row r="235" spans="2:3" x14ac:dyDescent="0.45">
      <c r="B235" t="s">
        <v>243</v>
      </c>
      <c r="C235" t="s">
        <v>505</v>
      </c>
    </row>
    <row r="236" spans="2:3" x14ac:dyDescent="0.45">
      <c r="B236" t="s">
        <v>244</v>
      </c>
      <c r="C236" t="s">
        <v>506</v>
      </c>
    </row>
    <row r="237" spans="2:3" x14ac:dyDescent="0.45">
      <c r="B237" t="s">
        <v>245</v>
      </c>
      <c r="C237" t="s">
        <v>507</v>
      </c>
    </row>
    <row r="238" spans="2:3" x14ac:dyDescent="0.45">
      <c r="B238" t="s">
        <v>246</v>
      </c>
      <c r="C238" t="s">
        <v>508</v>
      </c>
    </row>
    <row r="239" spans="2:3" x14ac:dyDescent="0.45">
      <c r="B239" t="s">
        <v>247</v>
      </c>
      <c r="C239" t="s">
        <v>509</v>
      </c>
    </row>
    <row r="240" spans="2:3" x14ac:dyDescent="0.45">
      <c r="B240" t="s">
        <v>248</v>
      </c>
      <c r="C240" t="s">
        <v>510</v>
      </c>
    </row>
    <row r="241" spans="2:3" x14ac:dyDescent="0.45">
      <c r="B241" t="s">
        <v>249</v>
      </c>
      <c r="C241" t="s">
        <v>511</v>
      </c>
    </row>
    <row r="242" spans="2:3" x14ac:dyDescent="0.45">
      <c r="B242" t="s">
        <v>250</v>
      </c>
      <c r="C242" t="s">
        <v>512</v>
      </c>
    </row>
    <row r="243" spans="2:3" x14ac:dyDescent="0.45">
      <c r="B243" t="s">
        <v>251</v>
      </c>
      <c r="C243" t="s">
        <v>513</v>
      </c>
    </row>
    <row r="244" spans="2:3" x14ac:dyDescent="0.45">
      <c r="B244" t="s">
        <v>252</v>
      </c>
      <c r="C244" t="s">
        <v>514</v>
      </c>
    </row>
    <row r="245" spans="2:3" x14ac:dyDescent="0.45">
      <c r="B245" t="s">
        <v>253</v>
      </c>
      <c r="C245" t="s">
        <v>515</v>
      </c>
    </row>
    <row r="246" spans="2:3" x14ac:dyDescent="0.45">
      <c r="B246" t="s">
        <v>254</v>
      </c>
      <c r="C246" t="s">
        <v>516</v>
      </c>
    </row>
    <row r="247" spans="2:3" x14ac:dyDescent="0.45">
      <c r="B247" t="s">
        <v>255</v>
      </c>
      <c r="C247" t="s">
        <v>517</v>
      </c>
    </row>
    <row r="248" spans="2:3" x14ac:dyDescent="0.45">
      <c r="B248" t="s">
        <v>256</v>
      </c>
      <c r="C248" t="s">
        <v>518</v>
      </c>
    </row>
    <row r="249" spans="2:3" x14ac:dyDescent="0.45">
      <c r="B249" t="s">
        <v>257</v>
      </c>
      <c r="C249" t="s">
        <v>519</v>
      </c>
    </row>
    <row r="250" spans="2:3" x14ac:dyDescent="0.45">
      <c r="B250" t="s">
        <v>258</v>
      </c>
      <c r="C250" t="s">
        <v>520</v>
      </c>
    </row>
    <row r="251" spans="2:3" x14ac:dyDescent="0.45">
      <c r="B251" t="s">
        <v>36</v>
      </c>
      <c r="C251" t="s">
        <v>521</v>
      </c>
    </row>
    <row r="252" spans="2:3" x14ac:dyDescent="0.45">
      <c r="B252" t="s">
        <v>259</v>
      </c>
      <c r="C252" t="s">
        <v>522</v>
      </c>
    </row>
    <row r="253" spans="2:3" x14ac:dyDescent="0.45">
      <c r="B253" t="s">
        <v>260</v>
      </c>
      <c r="C253" t="s">
        <v>523</v>
      </c>
    </row>
    <row r="254" spans="2:3" x14ac:dyDescent="0.45">
      <c r="B254" t="s">
        <v>261</v>
      </c>
      <c r="C254" t="s">
        <v>524</v>
      </c>
    </row>
    <row r="255" spans="2:3" x14ac:dyDescent="0.45">
      <c r="B255" t="s">
        <v>262</v>
      </c>
      <c r="C255" t="s">
        <v>525</v>
      </c>
    </row>
    <row r="256" spans="2:3" x14ac:dyDescent="0.45">
      <c r="B256" t="s">
        <v>263</v>
      </c>
      <c r="C256" t="s">
        <v>526</v>
      </c>
    </row>
    <row r="257" spans="2:3" x14ac:dyDescent="0.45">
      <c r="B257" t="s">
        <v>264</v>
      </c>
      <c r="C257" t="s">
        <v>527</v>
      </c>
    </row>
    <row r="258" spans="2:3" x14ac:dyDescent="0.45">
      <c r="B258" t="s">
        <v>265</v>
      </c>
      <c r="C258" t="s">
        <v>528</v>
      </c>
    </row>
    <row r="259" spans="2:3" x14ac:dyDescent="0.45">
      <c r="B259" t="s">
        <v>37</v>
      </c>
      <c r="C259" t="s">
        <v>529</v>
      </c>
    </row>
    <row r="260" spans="2:3" x14ac:dyDescent="0.45">
      <c r="B260" t="s">
        <v>266</v>
      </c>
      <c r="C260" t="s">
        <v>530</v>
      </c>
    </row>
    <row r="261" spans="2:3" x14ac:dyDescent="0.45">
      <c r="B261" t="s">
        <v>267</v>
      </c>
      <c r="C261" t="s">
        <v>531</v>
      </c>
    </row>
    <row r="262" spans="2:3" x14ac:dyDescent="0.45">
      <c r="B262" t="s">
        <v>268</v>
      </c>
      <c r="C262" t="s">
        <v>532</v>
      </c>
    </row>
    <row r="263" spans="2:3" x14ac:dyDescent="0.45">
      <c r="B263" t="s">
        <v>269</v>
      </c>
      <c r="C263" t="s">
        <v>533</v>
      </c>
    </row>
    <row r="264" spans="2:3" x14ac:dyDescent="0.45">
      <c r="B264" t="s">
        <v>270</v>
      </c>
      <c r="C264" t="s">
        <v>534</v>
      </c>
    </row>
    <row r="265" spans="2:3" x14ac:dyDescent="0.45">
      <c r="B265" t="s">
        <v>38</v>
      </c>
      <c r="C265" t="s">
        <v>535</v>
      </c>
    </row>
    <row r="266" spans="2:3" x14ac:dyDescent="0.45">
      <c r="B266" t="s">
        <v>271</v>
      </c>
      <c r="C266" t="s">
        <v>536</v>
      </c>
    </row>
    <row r="267" spans="2:3" x14ac:dyDescent="0.45">
      <c r="B267" t="s">
        <v>272</v>
      </c>
      <c r="C267" t="s">
        <v>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Final</vt:lpstr>
      <vt:lpstr>Sheet3</vt:lpstr>
      <vt:lpstr>Setup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Arthur Grigoryan</cp:lastModifiedBy>
  <dcterms:created xsi:type="dcterms:W3CDTF">2026-02-08T15:17:46Z</dcterms:created>
  <dcterms:modified xsi:type="dcterms:W3CDTF">2026-02-09T07:34:32Z</dcterms:modified>
</cp:coreProperties>
</file>