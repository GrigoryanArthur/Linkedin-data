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a9da4622382dea/Documents/Linkedin data/14 Feb 2026 GDP vs REP growth/"/>
    </mc:Choice>
  </mc:AlternateContent>
  <xr:revisionPtr revIDLastSave="387" documentId="8_{6C0BB658-C12C-43A0-A8D6-2A425F7C9703}" xr6:coauthVersionLast="47" xr6:coauthVersionMax="47" xr10:uidLastSave="{5B28AE82-2AB7-4B19-A55F-AE11496C99F5}"/>
  <bookViews>
    <workbookView xWindow="-98" yWindow="-98" windowWidth="19396" windowHeight="11475" activeTab="3" xr2:uid="{513120C5-C302-43D0-9D14-32DF55737FE6}"/>
  </bookViews>
  <sheets>
    <sheet name="2025" sheetId="1" r:id="rId1"/>
    <sheet name="2015" sheetId="2" r:id="rId2"/>
    <sheet name="Sheet3" sheetId="3" r:id="rId3"/>
    <sheet name="Sheet4" sheetId="4" r:id="rId4"/>
    <sheet name="Sheet5" sheetId="7" r:id="rId5"/>
    <sheet name="Sheet6" sheetId="8" r:id="rId6"/>
    <sheet name="Sheet1" sheetId="5" r:id="rId7"/>
    <sheet name="List of economies" sheetId="6" r:id="rId8"/>
  </sheets>
  <definedNames>
    <definedName name="_xlnm._FilterDatabase" localSheetId="1" hidden="1">'2015'!$A$1:$I$122</definedName>
    <definedName name="_xlnm._FilterDatabase" localSheetId="0" hidden="1">'2025'!$A$1:$I$105</definedName>
    <definedName name="_xlnm._FilterDatabase" localSheetId="7" hidden="1">'List of economies'!$A$1:$E$1</definedName>
    <definedName name="_xlnm._FilterDatabase" localSheetId="2" hidden="1">Sheet3!$A$1:$E$98</definedName>
    <definedName name="_xlnm._FilterDatabase" localSheetId="3" hidden="1">Sheet4!$A$2:$K$86</definedName>
    <definedName name="_xlnm._FilterDatabase" localSheetId="4" hidden="1">Sheet5!$A$1:$D$85</definedName>
    <definedName name="_xlnm._FilterDatabase" localSheetId="5" hidden="1">Sheet6!$A$1:$C$62</definedName>
    <definedName name="_Key1" hidden="1">#REF!</definedName>
    <definedName name="_Order1" hidden="1">255</definedName>
    <definedName name="_Sort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7" i="4" l="1"/>
  <c r="I87" i="4"/>
  <c r="H87" i="4"/>
  <c r="K87" i="4" s="1"/>
  <c r="E87" i="4"/>
  <c r="K3" i="4"/>
  <c r="B14" i="7"/>
  <c r="B60" i="7"/>
  <c r="B49" i="7"/>
  <c r="B26" i="7"/>
  <c r="B51" i="7"/>
  <c r="B17" i="7"/>
  <c r="B18" i="7"/>
  <c r="B16" i="7"/>
  <c r="B84" i="7"/>
  <c r="B15" i="7"/>
  <c r="B37" i="7"/>
  <c r="B11" i="7"/>
  <c r="B25" i="7"/>
  <c r="B9" i="7"/>
  <c r="B20" i="7"/>
  <c r="B5" i="7"/>
  <c r="B8" i="7"/>
  <c r="B70" i="7"/>
  <c r="B63" i="7"/>
  <c r="B43" i="7"/>
  <c r="B21" i="7"/>
  <c r="B38" i="7"/>
  <c r="B12" i="7"/>
  <c r="B27" i="7"/>
  <c r="B66" i="7"/>
  <c r="B77" i="7"/>
  <c r="B4" i="7"/>
  <c r="B36" i="7"/>
  <c r="B24" i="7"/>
  <c r="B58" i="7"/>
  <c r="B85" i="7"/>
  <c r="B56" i="7"/>
  <c r="B32" i="7"/>
  <c r="B75" i="7"/>
  <c r="B6" i="7"/>
  <c r="B3" i="7"/>
  <c r="B42" i="7"/>
  <c r="B59" i="7"/>
  <c r="B50" i="7"/>
  <c r="B54" i="7"/>
  <c r="B68" i="7"/>
  <c r="B34" i="7"/>
  <c r="B82" i="7"/>
  <c r="B79" i="7"/>
  <c r="B10" i="7"/>
  <c r="B19" i="7"/>
  <c r="B57" i="7"/>
  <c r="B45" i="7"/>
  <c r="B31" i="7"/>
  <c r="B23" i="7"/>
  <c r="B2" i="7"/>
  <c r="B80" i="7"/>
  <c r="B35" i="7"/>
  <c r="B39" i="7"/>
  <c r="B22" i="7"/>
  <c r="B48" i="7"/>
  <c r="B67" i="7"/>
  <c r="B61" i="7"/>
  <c r="B72" i="7"/>
  <c r="B40" i="7"/>
  <c r="B28" i="7"/>
  <c r="B7" i="7"/>
  <c r="B76" i="7"/>
  <c r="B78" i="7"/>
  <c r="B13" i="7"/>
  <c r="B65" i="7"/>
  <c r="B47" i="7"/>
  <c r="B55" i="7"/>
  <c r="B73" i="7"/>
  <c r="B69" i="7"/>
  <c r="B71" i="7"/>
  <c r="B44" i="7"/>
  <c r="B53" i="7"/>
  <c r="B29" i="7"/>
  <c r="B64" i="7"/>
  <c r="B46" i="7"/>
  <c r="B33" i="7"/>
  <c r="B81" i="7"/>
  <c r="B74" i="7"/>
  <c r="B83" i="7"/>
  <c r="B30" i="7"/>
  <c r="B41" i="7"/>
  <c r="B62" i="7"/>
  <c r="B52" i="7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A60" i="4"/>
  <c r="A61" i="4"/>
  <c r="A62" i="4"/>
  <c r="A3" i="4"/>
  <c r="A4" i="4"/>
  <c r="A63" i="4"/>
  <c r="A48" i="4"/>
  <c r="A64" i="4"/>
  <c r="A5" i="4"/>
  <c r="A49" i="4"/>
  <c r="A65" i="4"/>
  <c r="A66" i="4"/>
  <c r="A6" i="4"/>
  <c r="A7" i="4"/>
  <c r="A8" i="4"/>
  <c r="A67" i="4"/>
  <c r="A68" i="4"/>
  <c r="A9" i="4"/>
  <c r="A10" i="4"/>
  <c r="A11" i="4"/>
  <c r="A12" i="4"/>
  <c r="A69" i="4"/>
  <c r="A70" i="4"/>
  <c r="A71" i="4"/>
  <c r="A13" i="4"/>
  <c r="A14" i="4"/>
  <c r="A15" i="4"/>
  <c r="A72" i="4"/>
  <c r="A16" i="4"/>
  <c r="A17" i="4"/>
  <c r="A18" i="4"/>
  <c r="A19" i="4"/>
  <c r="A50" i="4"/>
  <c r="A73" i="4"/>
  <c r="A74" i="4"/>
  <c r="A20" i="4"/>
  <c r="A21" i="4"/>
  <c r="A22" i="4"/>
  <c r="A23" i="4"/>
  <c r="A51" i="4"/>
  <c r="A75" i="4"/>
  <c r="A24" i="4"/>
  <c r="A25" i="4"/>
  <c r="A26" i="4"/>
  <c r="A27" i="4"/>
  <c r="A76" i="4"/>
  <c r="A28" i="4"/>
  <c r="A77" i="4"/>
  <c r="A78" i="4"/>
  <c r="A79" i="4"/>
  <c r="A80" i="4"/>
  <c r="A52" i="4"/>
  <c r="A53" i="4"/>
  <c r="A29" i="4"/>
  <c r="A30" i="4"/>
  <c r="A81" i="4"/>
  <c r="A31" i="4"/>
  <c r="A32" i="4"/>
  <c r="A54" i="4"/>
  <c r="A33" i="4"/>
  <c r="A82" i="4"/>
  <c r="A55" i="4"/>
  <c r="A34" i="4"/>
  <c r="A35" i="4"/>
  <c r="A36" i="4"/>
  <c r="A37" i="4"/>
  <c r="A38" i="4"/>
  <c r="A83" i="4"/>
  <c r="A39" i="4"/>
  <c r="A40" i="4"/>
  <c r="A84" i="4"/>
  <c r="A41" i="4"/>
  <c r="A56" i="4"/>
  <c r="A42" i="4"/>
  <c r="A43" i="4"/>
  <c r="A85" i="4"/>
  <c r="A57" i="4"/>
  <c r="A86" i="4"/>
  <c r="A44" i="4"/>
  <c r="A45" i="4"/>
  <c r="A46" i="4"/>
  <c r="A47" i="4"/>
  <c r="A58" i="4"/>
  <c r="A59" i="4"/>
  <c r="H3" i="4"/>
  <c r="H4" i="4"/>
  <c r="H63" i="4"/>
  <c r="H48" i="4"/>
  <c r="H64" i="4"/>
  <c r="H5" i="4"/>
  <c r="H49" i="4"/>
  <c r="H65" i="4"/>
  <c r="H66" i="4"/>
  <c r="H6" i="4"/>
  <c r="H7" i="4"/>
  <c r="H8" i="4"/>
  <c r="H67" i="4"/>
  <c r="H68" i="4"/>
  <c r="H9" i="4"/>
  <c r="H10" i="4"/>
  <c r="H11" i="4"/>
  <c r="H12" i="4"/>
  <c r="H69" i="4"/>
  <c r="H70" i="4"/>
  <c r="H71" i="4"/>
  <c r="H13" i="4"/>
  <c r="H14" i="4"/>
  <c r="H15" i="4"/>
  <c r="H72" i="4"/>
  <c r="H16" i="4"/>
  <c r="H17" i="4"/>
  <c r="H18" i="4"/>
  <c r="H19" i="4"/>
  <c r="H50" i="4"/>
  <c r="H73" i="4"/>
  <c r="H74" i="4"/>
  <c r="H20" i="4"/>
  <c r="H21" i="4"/>
  <c r="H22" i="4"/>
  <c r="H23" i="4"/>
  <c r="H51" i="4"/>
  <c r="H75" i="4"/>
  <c r="H24" i="4"/>
  <c r="H25" i="4"/>
  <c r="H26" i="4"/>
  <c r="H27" i="4"/>
  <c r="H76" i="4"/>
  <c r="H28" i="4"/>
  <c r="H77" i="4"/>
  <c r="H78" i="4"/>
  <c r="H79" i="4"/>
  <c r="H80" i="4"/>
  <c r="H52" i="4"/>
  <c r="H53" i="4"/>
  <c r="H29" i="4"/>
  <c r="H30" i="4"/>
  <c r="H81" i="4"/>
  <c r="H31" i="4"/>
  <c r="H32" i="4"/>
  <c r="H54" i="4"/>
  <c r="H33" i="4"/>
  <c r="H82" i="4"/>
  <c r="H55" i="4"/>
  <c r="H34" i="4"/>
  <c r="H35" i="4"/>
  <c r="H36" i="4"/>
  <c r="H37" i="4"/>
  <c r="H38" i="4"/>
  <c r="H83" i="4"/>
  <c r="H39" i="4"/>
  <c r="H40" i="4"/>
  <c r="H84" i="4"/>
  <c r="H41" i="4"/>
  <c r="H56" i="4"/>
  <c r="H42" i="4"/>
  <c r="H43" i="4"/>
  <c r="H85" i="4"/>
  <c r="H57" i="4"/>
  <c r="H86" i="4"/>
  <c r="H44" i="4"/>
  <c r="H45" i="4"/>
  <c r="H46" i="4"/>
  <c r="H47" i="4"/>
  <c r="H58" i="4"/>
  <c r="H60" i="4"/>
  <c r="H61" i="4"/>
  <c r="H62" i="4"/>
  <c r="H59" i="4"/>
  <c r="E60" i="4"/>
  <c r="E61" i="4"/>
  <c r="E62" i="4"/>
  <c r="E3" i="4"/>
  <c r="J3" i="4" s="1"/>
  <c r="E4" i="4"/>
  <c r="E63" i="4"/>
  <c r="J63" i="4" s="1"/>
  <c r="E48" i="4"/>
  <c r="J48" i="4" s="1"/>
  <c r="E64" i="4"/>
  <c r="J64" i="4" s="1"/>
  <c r="E5" i="4"/>
  <c r="E49" i="4"/>
  <c r="E65" i="4"/>
  <c r="E66" i="4"/>
  <c r="J66" i="4" s="1"/>
  <c r="E6" i="4"/>
  <c r="E7" i="4"/>
  <c r="E8" i="4"/>
  <c r="E67" i="4"/>
  <c r="J67" i="4" s="1"/>
  <c r="E68" i="4"/>
  <c r="E9" i="4"/>
  <c r="J9" i="4" s="1"/>
  <c r="E10" i="4"/>
  <c r="J10" i="4" s="1"/>
  <c r="E11" i="4"/>
  <c r="J11" i="4" s="1"/>
  <c r="E12" i="4"/>
  <c r="E69" i="4"/>
  <c r="E70" i="4"/>
  <c r="E71" i="4"/>
  <c r="J71" i="4" s="1"/>
  <c r="E13" i="4"/>
  <c r="E14" i="4"/>
  <c r="E15" i="4"/>
  <c r="E72" i="4"/>
  <c r="J72" i="4" s="1"/>
  <c r="E16" i="4"/>
  <c r="E17" i="4"/>
  <c r="J17" i="4" s="1"/>
  <c r="E18" i="4"/>
  <c r="J18" i="4" s="1"/>
  <c r="E19" i="4"/>
  <c r="J19" i="4" s="1"/>
  <c r="E50" i="4"/>
  <c r="E73" i="4"/>
  <c r="E74" i="4"/>
  <c r="E20" i="4"/>
  <c r="J20" i="4" s="1"/>
  <c r="E21" i="4"/>
  <c r="E22" i="4"/>
  <c r="E23" i="4"/>
  <c r="E51" i="4"/>
  <c r="J51" i="4" s="1"/>
  <c r="E75" i="4"/>
  <c r="E24" i="4"/>
  <c r="J24" i="4" s="1"/>
  <c r="E25" i="4"/>
  <c r="J25" i="4" s="1"/>
  <c r="E26" i="4"/>
  <c r="J26" i="4" s="1"/>
  <c r="E27" i="4"/>
  <c r="E76" i="4"/>
  <c r="E28" i="4"/>
  <c r="E77" i="4"/>
  <c r="J77" i="4" s="1"/>
  <c r="E78" i="4"/>
  <c r="E79" i="4"/>
  <c r="E80" i="4"/>
  <c r="E52" i="4"/>
  <c r="J52" i="4" s="1"/>
  <c r="E53" i="4"/>
  <c r="E29" i="4"/>
  <c r="J29" i="4" s="1"/>
  <c r="E30" i="4"/>
  <c r="J30" i="4" s="1"/>
  <c r="E81" i="4"/>
  <c r="J81" i="4" s="1"/>
  <c r="E31" i="4"/>
  <c r="E32" i="4"/>
  <c r="E54" i="4"/>
  <c r="J54" i="4" s="1"/>
  <c r="E33" i="4"/>
  <c r="J33" i="4" s="1"/>
  <c r="E82" i="4"/>
  <c r="E55" i="4"/>
  <c r="E34" i="4"/>
  <c r="E35" i="4"/>
  <c r="J35" i="4" s="1"/>
  <c r="E36" i="4"/>
  <c r="E37" i="4"/>
  <c r="J37" i="4" s="1"/>
  <c r="E38" i="4"/>
  <c r="J38" i="4" s="1"/>
  <c r="E83" i="4"/>
  <c r="J83" i="4" s="1"/>
  <c r="E39" i="4"/>
  <c r="E40" i="4"/>
  <c r="E84" i="4"/>
  <c r="J84" i="4" s="1"/>
  <c r="E41" i="4"/>
  <c r="J41" i="4" s="1"/>
  <c r="E56" i="4"/>
  <c r="E42" i="4"/>
  <c r="E43" i="4"/>
  <c r="E85" i="4"/>
  <c r="J85" i="4" s="1"/>
  <c r="E57" i="4"/>
  <c r="E86" i="4"/>
  <c r="J86" i="4" s="1"/>
  <c r="E44" i="4"/>
  <c r="J44" i="4" s="1"/>
  <c r="E45" i="4"/>
  <c r="J45" i="4" s="1"/>
  <c r="E46" i="4"/>
  <c r="E47" i="4"/>
  <c r="E58" i="4"/>
  <c r="J58" i="4" s="1"/>
  <c r="E59" i="4"/>
  <c r="J59" i="4" s="1"/>
  <c r="H2" i="5"/>
  <c r="G2" i="5"/>
  <c r="D2" i="5"/>
  <c r="I42" i="4"/>
  <c r="I43" i="4"/>
  <c r="I85" i="4"/>
  <c r="I57" i="4"/>
  <c r="I86" i="4"/>
  <c r="I44" i="4"/>
  <c r="I45" i="4"/>
  <c r="I46" i="4"/>
  <c r="I47" i="4"/>
  <c r="I58" i="4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3" i="3"/>
  <c r="I52" i="4"/>
  <c r="I37" i="4"/>
  <c r="I84" i="4"/>
  <c r="I41" i="4"/>
  <c r="I18" i="4"/>
  <c r="I82" i="4"/>
  <c r="I28" i="4"/>
  <c r="I81" i="4"/>
  <c r="I80" i="4"/>
  <c r="I51" i="4"/>
  <c r="I72" i="4"/>
  <c r="I30" i="4"/>
  <c r="I8" i="4"/>
  <c r="I56" i="4"/>
  <c r="I14" i="4"/>
  <c r="I40" i="4"/>
  <c r="I83" i="4"/>
  <c r="I27" i="4"/>
  <c r="I31" i="4"/>
  <c r="I54" i="4"/>
  <c r="I64" i="4"/>
  <c r="I29" i="4"/>
  <c r="I24" i="4"/>
  <c r="I20" i="4"/>
  <c r="I78" i="4"/>
  <c r="I75" i="4"/>
  <c r="I50" i="4"/>
  <c r="I34" i="4"/>
  <c r="I16" i="4"/>
  <c r="I12" i="4"/>
  <c r="I9" i="4"/>
  <c r="I67" i="4"/>
  <c r="I70" i="4"/>
  <c r="I71" i="4"/>
  <c r="I39" i="4"/>
  <c r="I7" i="4"/>
  <c r="I23" i="4"/>
  <c r="I79" i="4"/>
  <c r="I60" i="4"/>
  <c r="I76" i="4"/>
  <c r="I74" i="4"/>
  <c r="I32" i="4"/>
  <c r="I21" i="4"/>
  <c r="I59" i="4"/>
  <c r="I35" i="4"/>
  <c r="I48" i="4"/>
  <c r="I5" i="4"/>
  <c r="I49" i="4"/>
  <c r="I36" i="4"/>
  <c r="I61" i="4"/>
  <c r="I68" i="4"/>
  <c r="I63" i="4"/>
  <c r="I38" i="4"/>
  <c r="I33" i="4"/>
  <c r="I62" i="4"/>
  <c r="I11" i="4"/>
  <c r="I26" i="4"/>
  <c r="I73" i="4"/>
  <c r="I69" i="4"/>
  <c r="I17" i="4"/>
  <c r="I77" i="4"/>
  <c r="I4" i="4"/>
  <c r="I6" i="4"/>
  <c r="I15" i="4"/>
  <c r="I53" i="4"/>
  <c r="I3" i="4"/>
  <c r="I22" i="4"/>
  <c r="I55" i="4"/>
  <c r="I25" i="4"/>
  <c r="I66" i="4"/>
  <c r="I65" i="4"/>
  <c r="I13" i="4"/>
  <c r="I19" i="4"/>
  <c r="I10" i="4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3" i="3"/>
  <c r="B32" i="3"/>
  <c r="B17" i="3"/>
  <c r="B86" i="3"/>
  <c r="B64" i="3"/>
  <c r="B38" i="3"/>
  <c r="B20" i="3"/>
  <c r="B98" i="3"/>
  <c r="B89" i="3"/>
  <c r="B81" i="3"/>
  <c r="B73" i="3"/>
  <c r="B51" i="3"/>
  <c r="B43" i="3"/>
  <c r="B6" i="3"/>
  <c r="B59" i="3"/>
  <c r="B72" i="3"/>
  <c r="B29" i="3"/>
  <c r="B21" i="3"/>
  <c r="B5" i="3"/>
  <c r="B30" i="3"/>
  <c r="B4" i="3"/>
  <c r="B27" i="3"/>
  <c r="B80" i="3"/>
  <c r="B19" i="3"/>
  <c r="B9" i="3"/>
  <c r="B3" i="3"/>
  <c r="F3" i="3" s="1"/>
  <c r="B15" i="3"/>
  <c r="B42" i="3"/>
  <c r="B75" i="3"/>
  <c r="B78" i="3"/>
  <c r="B70" i="3"/>
  <c r="B82" i="3"/>
  <c r="B53" i="3"/>
  <c r="B46" i="3"/>
  <c r="B92" i="3"/>
  <c r="B25" i="3"/>
  <c r="B97" i="3"/>
  <c r="B63" i="3"/>
  <c r="B61" i="3"/>
  <c r="B14" i="3"/>
  <c r="B96" i="3"/>
  <c r="B83" i="3"/>
  <c r="B39" i="3"/>
  <c r="B37" i="3"/>
  <c r="B62" i="3"/>
  <c r="B11" i="3"/>
  <c r="B23" i="3"/>
  <c r="B10" i="3"/>
  <c r="B35" i="3"/>
  <c r="B55" i="3"/>
  <c r="B67" i="3"/>
  <c r="B90" i="3"/>
  <c r="B48" i="3"/>
  <c r="B13" i="3"/>
  <c r="B28" i="3"/>
  <c r="B60" i="3"/>
  <c r="B8" i="3"/>
  <c r="B31" i="3"/>
  <c r="B58" i="3"/>
  <c r="B71" i="3"/>
  <c r="B74" i="3"/>
  <c r="B88" i="3"/>
  <c r="B41" i="3"/>
  <c r="B91" i="3"/>
  <c r="B77" i="3"/>
  <c r="B22" i="3"/>
  <c r="B34" i="3"/>
  <c r="B18" i="3"/>
  <c r="B50" i="3"/>
  <c r="B47" i="3"/>
  <c r="B16" i="3"/>
  <c r="B36" i="3"/>
  <c r="B94" i="3"/>
  <c r="B57" i="3"/>
  <c r="B56" i="3"/>
  <c r="B54" i="3"/>
  <c r="B85" i="3"/>
  <c r="B44" i="3"/>
  <c r="B68" i="3"/>
  <c r="B24" i="3"/>
  <c r="B7" i="3"/>
  <c r="B33" i="3"/>
  <c r="B87" i="3"/>
  <c r="B65" i="3"/>
  <c r="B66" i="3"/>
  <c r="B52" i="3"/>
  <c r="B93" i="3"/>
  <c r="B49" i="3"/>
  <c r="B12" i="3"/>
  <c r="B45" i="3"/>
  <c r="B40" i="3"/>
  <c r="B26" i="3"/>
  <c r="B76" i="3"/>
  <c r="B95" i="3"/>
  <c r="B84" i="3"/>
  <c r="B69" i="3"/>
  <c r="B79" i="3"/>
  <c r="J36" i="4" l="1"/>
  <c r="J75" i="4"/>
  <c r="J4" i="4"/>
  <c r="J57" i="4"/>
  <c r="J53" i="4"/>
  <c r="J16" i="4"/>
  <c r="J68" i="4"/>
  <c r="J28" i="4"/>
  <c r="J74" i="4"/>
  <c r="J70" i="4"/>
  <c r="J65" i="4"/>
  <c r="J47" i="4"/>
  <c r="J40" i="4"/>
  <c r="J32" i="4"/>
  <c r="J76" i="4"/>
  <c r="J73" i="4"/>
  <c r="J69" i="4"/>
  <c r="J49" i="4"/>
  <c r="J46" i="4"/>
  <c r="J39" i="4"/>
  <c r="J31" i="4"/>
  <c r="J27" i="4"/>
  <c r="J50" i="4"/>
  <c r="J12" i="4"/>
  <c r="J5" i="4"/>
  <c r="J43" i="4"/>
  <c r="J34" i="4"/>
  <c r="J80" i="4"/>
  <c r="J23" i="4"/>
  <c r="J15" i="4"/>
  <c r="J8" i="4"/>
  <c r="J62" i="4"/>
  <c r="J42" i="4"/>
  <c r="J55" i="4"/>
  <c r="J79" i="4"/>
  <c r="J22" i="4"/>
  <c r="J14" i="4"/>
  <c r="J7" i="4"/>
  <c r="J61" i="4"/>
  <c r="J56" i="4"/>
  <c r="J82" i="4"/>
  <c r="J78" i="4"/>
  <c r="J21" i="4"/>
  <c r="J13" i="4"/>
  <c r="J6" i="4"/>
  <c r="J60" i="4"/>
</calcChain>
</file>

<file path=xl/sharedStrings.xml><?xml version="1.0" encoding="utf-8"?>
<sst xmlns="http://schemas.openxmlformats.org/spreadsheetml/2006/main" count="2871" uniqueCount="600">
  <si>
    <t>Rank</t>
  </si>
  <si>
    <t>Country</t>
  </si>
  <si>
    <t>Price To Income Ratio</t>
  </si>
  <si>
    <t>Gross Rental Yield City Centre</t>
  </si>
  <si>
    <t>Gross Rental Yield Outside of Centre</t>
  </si>
  <si>
    <t>Price To Rent Ratio City Centre</t>
  </si>
  <si>
    <t>Price To Rent Ratio Outside Of City Centre</t>
  </si>
  <si>
    <t>Mortgage As A Percentage Of Income</t>
  </si>
  <si>
    <t>Affordability Index</t>
  </si>
  <si>
    <t>Syria</t>
  </si>
  <si>
    <t>Cuba</t>
  </si>
  <si>
    <t>Ethiopia</t>
  </si>
  <si>
    <t>Cameroon</t>
  </si>
  <si>
    <t>Sri Lanka</t>
  </si>
  <si>
    <t>Nepal</t>
  </si>
  <si>
    <t>Hong Kong (China)</t>
  </si>
  <si>
    <t>China</t>
  </si>
  <si>
    <t>Vietnam</t>
  </si>
  <si>
    <t>Thailand</t>
  </si>
  <si>
    <t>Singapore</t>
  </si>
  <si>
    <t>Philippines</t>
  </si>
  <si>
    <t>South Korea</t>
  </si>
  <si>
    <t>Taiwan</t>
  </si>
  <si>
    <t>Iran</t>
  </si>
  <si>
    <t>Armenia</t>
  </si>
  <si>
    <t>Mauritius</t>
  </si>
  <si>
    <t>Peru</t>
  </si>
  <si>
    <t>Egypt</t>
  </si>
  <si>
    <t>Colombia</t>
  </si>
  <si>
    <t>Argentina</t>
  </si>
  <si>
    <t>El Salvador</t>
  </si>
  <si>
    <t>Algeria</t>
  </si>
  <si>
    <t>Dominican Republic</t>
  </si>
  <si>
    <t>Serbia</t>
  </si>
  <si>
    <t>Chile</t>
  </si>
  <si>
    <t>Azerbaijan</t>
  </si>
  <si>
    <t>Albania</t>
  </si>
  <si>
    <t>Brazil</t>
  </si>
  <si>
    <t>Venezuela</t>
  </si>
  <si>
    <t>Lebanon</t>
  </si>
  <si>
    <t>Indonesia</t>
  </si>
  <si>
    <t>Portugal</t>
  </si>
  <si>
    <t>Russia</t>
  </si>
  <si>
    <t>Pakistan</t>
  </si>
  <si>
    <t>Slovakia</t>
  </si>
  <si>
    <t>Kyrgyzstan</t>
  </si>
  <si>
    <t>Israel</t>
  </si>
  <si>
    <t>Kosovo (Disputed Territory)</t>
  </si>
  <si>
    <t>Ukraine</t>
  </si>
  <si>
    <t>Czech Republic</t>
  </si>
  <si>
    <t>Uzbekistan</t>
  </si>
  <si>
    <t>Morocco</t>
  </si>
  <si>
    <t>Moldova</t>
  </si>
  <si>
    <t>Bosnia And Herzegovina</t>
  </si>
  <si>
    <t>Uruguay</t>
  </si>
  <si>
    <t>Slovenia</t>
  </si>
  <si>
    <t>Hungary</t>
  </si>
  <si>
    <t>Greece</t>
  </si>
  <si>
    <t>Montenegro</t>
  </si>
  <si>
    <t>Belarus</t>
  </si>
  <si>
    <t>Croatia</t>
  </si>
  <si>
    <t>Bangladesh</t>
  </si>
  <si>
    <t>Georgia</t>
  </si>
  <si>
    <t>Lithuania</t>
  </si>
  <si>
    <t>North Macedonia</t>
  </si>
  <si>
    <t>Tunisia</t>
  </si>
  <si>
    <t>Japan</t>
  </si>
  <si>
    <t>Bolivia</t>
  </si>
  <si>
    <t>Ecuador</t>
  </si>
  <si>
    <t>Mexico</t>
  </si>
  <si>
    <t>Austria</t>
  </si>
  <si>
    <t>Estonia</t>
  </si>
  <si>
    <t>Malta</t>
  </si>
  <si>
    <t>Panama</t>
  </si>
  <si>
    <t>Poland</t>
  </si>
  <si>
    <t>Switzerland</t>
  </si>
  <si>
    <t>India</t>
  </si>
  <si>
    <t>Turkey</t>
  </si>
  <si>
    <t>Romania</t>
  </si>
  <si>
    <t>Costa Rica</t>
  </si>
  <si>
    <t>France</t>
  </si>
  <si>
    <t>Canada</t>
  </si>
  <si>
    <t>Kazakhstan</t>
  </si>
  <si>
    <t>Italy</t>
  </si>
  <si>
    <t>Bulgaria</t>
  </si>
  <si>
    <t>Germany</t>
  </si>
  <si>
    <t>United Kingdom</t>
  </si>
  <si>
    <t>Malaysia</t>
  </si>
  <si>
    <t>Luxembourg</t>
  </si>
  <si>
    <t>Latvia</t>
  </si>
  <si>
    <t>Spain</t>
  </si>
  <si>
    <t>Iraq</t>
  </si>
  <si>
    <t>Norway</t>
  </si>
  <si>
    <t>Cyprus</t>
  </si>
  <si>
    <t>Australia</t>
  </si>
  <si>
    <t>Finland</t>
  </si>
  <si>
    <t>Sweden</t>
  </si>
  <si>
    <t>Netherlands</t>
  </si>
  <si>
    <t>New Zealand</t>
  </si>
  <si>
    <t>Kuwait</t>
  </si>
  <si>
    <t>United Arab Emirates</t>
  </si>
  <si>
    <t>Jordan</t>
  </si>
  <si>
    <t>Belgium</t>
  </si>
  <si>
    <t>Ireland</t>
  </si>
  <si>
    <t>Iceland</t>
  </si>
  <si>
    <t>Palestine</t>
  </si>
  <si>
    <t>Denmark</t>
  </si>
  <si>
    <t>Qatar</t>
  </si>
  <si>
    <t>Puerto Rico</t>
  </si>
  <si>
    <t>United States</t>
  </si>
  <si>
    <t>South Africa</t>
  </si>
  <si>
    <t>Oman</t>
  </si>
  <si>
    <t>Saudi Arabia</t>
  </si>
  <si>
    <t>Uganda</t>
  </si>
  <si>
    <t>Hong Kong</t>
  </si>
  <si>
    <t>Myanmar</t>
  </si>
  <si>
    <t>Ghana</t>
  </si>
  <si>
    <t>Cambodia</t>
  </si>
  <si>
    <t>Kenya</t>
  </si>
  <si>
    <t>Zimbabwe</t>
  </si>
  <si>
    <t>Botswana</t>
  </si>
  <si>
    <t>Nigeria</t>
  </si>
  <si>
    <t>Trinidad And Tobago</t>
  </si>
  <si>
    <t>Nicaragua</t>
  </si>
  <si>
    <t>Guatemala</t>
  </si>
  <si>
    <t>Bahrain</t>
  </si>
  <si>
    <t>Namibia</t>
  </si>
  <si>
    <t>Libya</t>
  </si>
  <si>
    <t>Mozambique</t>
  </si>
  <si>
    <t>Jamaica</t>
  </si>
  <si>
    <t>Bahamas</t>
  </si>
  <si>
    <t>Belize</t>
  </si>
  <si>
    <t>Honduras</t>
  </si>
  <si>
    <t>Tanzania</t>
  </si>
  <si>
    <t>Country Name</t>
  </si>
  <si>
    <t>Country Code</t>
  </si>
  <si>
    <t>Aruba</t>
  </si>
  <si>
    <t>ABW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</si>
  <si>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</si>
  <si>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</si>
  <si>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</si>
  <si>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</si>
  <si>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</si>
  <si>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</si>
  <si>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</si>
  <si>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</si>
  <si>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</t>
  </si>
  <si>
    <t>Andorra</t>
  </si>
  <si>
    <t>AND</t>
  </si>
  <si>
    <t>Arab World</t>
  </si>
  <si>
    <t>ARB</t>
  </si>
  <si>
    <t>ARE</t>
  </si>
  <si>
    <t>ARG</t>
  </si>
  <si>
    <t>ARM</t>
  </si>
  <si>
    <t>American Samoa</t>
  </si>
  <si>
    <t>ASM</t>
  </si>
  <si>
    <t>Antigua and Barbuda</t>
  </si>
  <si>
    <t>ATG</t>
  </si>
  <si>
    <t>AUS</t>
  </si>
  <si>
    <t>AUT</t>
  </si>
  <si>
    <t>AZE</t>
  </si>
  <si>
    <t>Burundi</t>
  </si>
  <si>
    <t>BDI</t>
  </si>
  <si>
    <t>BEL</t>
  </si>
  <si>
    <t>Benin</t>
  </si>
  <si>
    <t>BEN</t>
  </si>
  <si>
    <t>Burkina Faso</t>
  </si>
  <si>
    <t>BFA</t>
  </si>
  <si>
    <t>BGD</t>
  </si>
  <si>
    <t>BGR</t>
  </si>
  <si>
    <t>BHR</t>
  </si>
  <si>
    <t>Bahamas, The</t>
  </si>
  <si>
    <t>BHS</t>
  </si>
  <si>
    <t>Bosnia and Herzegovina</t>
  </si>
  <si>
    <t>BIH</t>
  </si>
  <si>
    <t>BLR</t>
  </si>
  <si>
    <t>BLZ</t>
  </si>
  <si>
    <t>Bermuda</t>
  </si>
  <si>
    <t>BMU</t>
  </si>
  <si>
    <t>BOL</t>
  </si>
  <si>
    <t>BRA</t>
  </si>
  <si>
    <t>Barbados</t>
  </si>
  <si>
    <t>BRB</t>
  </si>
  <si>
    <t>Brunei Darussalam</t>
  </si>
  <si>
    <t>BRN</t>
  </si>
  <si>
    <t>Bhutan</t>
  </si>
  <si>
    <t>BTN</t>
  </si>
  <si>
    <t>BWA</t>
  </si>
  <si>
    <t>Central African Republic</t>
  </si>
  <si>
    <t>CAF</t>
  </si>
  <si>
    <t>CAN</t>
  </si>
  <si>
    <t>Central Europe and the Baltics</t>
  </si>
  <si>
    <t>CEB</t>
  </si>
  <si>
    <t>CHE</t>
  </si>
  <si>
    <t>Channel Islands</t>
  </si>
  <si>
    <t>CHI</t>
  </si>
  <si>
    <t>CHL</t>
  </si>
  <si>
    <t>CHN</t>
  </si>
  <si>
    <t>Cote d'Ivoire</t>
  </si>
  <si>
    <t>CIV</t>
  </si>
  <si>
    <t>CMR</t>
  </si>
  <si>
    <t>Congo, Dem. Rep.</t>
  </si>
  <si>
    <t>COD</t>
  </si>
  <si>
    <t>Congo, Rep.</t>
  </si>
  <si>
    <t>COG</t>
  </si>
  <si>
    <t>COL</t>
  </si>
  <si>
    <t>Comoros</t>
  </si>
  <si>
    <t>COM</t>
  </si>
  <si>
    <t>Cabo Verde</t>
  </si>
  <si>
    <t>CPV</t>
  </si>
  <si>
    <t>CRI</t>
  </si>
  <si>
    <t>Caribbean small states</t>
  </si>
  <si>
    <t>CSS</t>
  </si>
  <si>
    <t>CUB</t>
  </si>
  <si>
    <t>Curacao</t>
  </si>
  <si>
    <t>CUW</t>
  </si>
  <si>
    <t>Cayman Islands</t>
  </si>
  <si>
    <t>CYM</t>
  </si>
  <si>
    <t>CYP</t>
  </si>
  <si>
    <t>Czechia</t>
  </si>
  <si>
    <t>CZE</t>
  </si>
  <si>
    <t>DEU</t>
  </si>
  <si>
    <t>Djibouti</t>
  </si>
  <si>
    <t>DJI</t>
  </si>
  <si>
    <t>Dominica</t>
  </si>
  <si>
    <t>DMA</t>
  </si>
  <si>
    <t>DNK</t>
  </si>
  <si>
    <t>DOM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</si>
  <si>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</si>
  <si>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</si>
  <si>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</si>
  <si>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</si>
  <si>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</si>
  <si>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</si>
  <si>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</si>
  <si>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</si>
  <si>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</si>
  <si>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</si>
  <si>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</si>
  <si>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</t>
  </si>
  <si>
    <t>Egypt, Arab Rep.</t>
  </si>
  <si>
    <t>EGY</t>
  </si>
  <si>
    <t>Euro area</t>
  </si>
  <si>
    <t>EMU</t>
  </si>
  <si>
    <t>Eritrea</t>
  </si>
  <si>
    <t>ERI</t>
  </si>
  <si>
    <t>ESP</t>
  </si>
  <si>
    <t>EST</t>
  </si>
  <si>
    <t>ETH</t>
  </si>
  <si>
    <t>European Union</t>
  </si>
  <si>
    <t>EUU</t>
  </si>
  <si>
    <t>Fragile and conflict affected situations</t>
  </si>
  <si>
    <t>FCS</t>
  </si>
  <si>
    <t>FIN</t>
  </si>
  <si>
    <t>Fiji</t>
  </si>
  <si>
    <t>FJI</t>
  </si>
  <si>
    <t>FRA</t>
  </si>
  <si>
    <t>Faroe Islands</t>
  </si>
  <si>
    <t>FRO</t>
  </si>
  <si>
    <t>Micronesia, Fed. Sts.</t>
  </si>
  <si>
    <t>FSM</t>
  </si>
  <si>
    <t>Gabon</t>
  </si>
  <si>
    <t>GAB</t>
  </si>
  <si>
    <t>GBR</t>
  </si>
  <si>
    <t>GEO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</si>
  <si>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</si>
  <si>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</si>
  <si>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</si>
  <si>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</si>
  <si>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</si>
  <si>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</si>
  <si>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</si>
  <si>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</si>
  <si>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</si>
  <si>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</si>
  <si>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</si>
  <si>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GRC</t>
  </si>
  <si>
    <t>Grenada</t>
  </si>
  <si>
    <t>GRD</t>
  </si>
  <si>
    <t>Greenland</t>
  </si>
  <si>
    <t>GRL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</si>
  <si>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</si>
  <si>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</si>
  <si>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</si>
  <si>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</si>
  <si>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</si>
  <si>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</si>
  <si>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</si>
  <si>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</si>
  <si>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</si>
  <si>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HND</t>
  </si>
  <si>
    <t>Heavily indebted poor countries (HIPC)</t>
  </si>
  <si>
    <t>HPC</t>
  </si>
  <si>
    <t>HRV</t>
  </si>
  <si>
    <t>Haiti</t>
  </si>
  <si>
    <t>HTI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</si>
  <si>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</si>
  <si>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</si>
  <si>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</si>
  <si>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</si>
  <si>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</si>
  <si>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</si>
  <si>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</si>
  <si>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</si>
  <si>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</si>
  <si>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IDN</t>
  </si>
  <si>
    <t>IDA only</t>
  </si>
  <si>
    <t>IDX</t>
  </si>
  <si>
    <t>Isle of Man</t>
  </si>
  <si>
    <t>IMN</t>
  </si>
  <si>
    <t>IND</t>
  </si>
  <si>
    <t>Not classified</t>
  </si>
  <si>
    <t>INX</t>
  </si>
  <si>
    <t>IRL</t>
  </si>
  <si>
    <t>Iran, Islamic Rep.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</si>
  <si>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</si>
  <si>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</si>
  <si>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</si>
  <si>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</si>
  <si>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</si>
  <si>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</si>
  <si>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</si>
  <si>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</si>
  <si>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</si>
  <si>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</si>
  <si>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Kyrgyz Republic</t>
  </si>
  <si>
    <t>KGZ</t>
  </si>
  <si>
    <t>KHM</t>
  </si>
  <si>
    <t>Kiribati</t>
  </si>
  <si>
    <t>KIR</t>
  </si>
  <si>
    <t>St. Kitts and Nevis</t>
  </si>
  <si>
    <t>KNA</t>
  </si>
  <si>
    <t>Korea, Rep.</t>
  </si>
  <si>
    <t>KOR</t>
  </si>
  <si>
    <t>KWT</t>
  </si>
  <si>
    <t>Latin America &amp; Caribbean (excluding high income)</t>
  </si>
  <si>
    <t>LAC</t>
  </si>
  <si>
    <t>Lao PDR</t>
  </si>
  <si>
    <t>LAO</t>
  </si>
  <si>
    <t>LBN</t>
  </si>
  <si>
    <t>Liberia</t>
  </si>
  <si>
    <t>LBR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</si>
  <si>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</si>
  <si>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</si>
  <si>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</si>
  <si>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</si>
  <si>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</si>
  <si>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</si>
  <si>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</si>
  <si>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</si>
  <si>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</si>
  <si>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</si>
  <si>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</si>
  <si>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</si>
  <si>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</si>
  <si>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</si>
  <si>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</si>
  <si>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</si>
  <si>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</si>
  <si>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</si>
  <si>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</si>
  <si>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</si>
  <si>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LTU</t>
  </si>
  <si>
    <t>LUX</t>
  </si>
  <si>
    <t>LVA</t>
  </si>
  <si>
    <t>Macao SAR, China</t>
  </si>
  <si>
    <t>MAC</t>
  </si>
  <si>
    <t>St. Martin (French part)</t>
  </si>
  <si>
    <t>MAF</t>
  </si>
  <si>
    <t>MAR</t>
  </si>
  <si>
    <t>Monaco</t>
  </si>
  <si>
    <t>MCO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</si>
  <si>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</si>
  <si>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</si>
  <si>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</si>
  <si>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</si>
  <si>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</si>
  <si>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</si>
  <si>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</si>
  <si>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</t>
  </si>
  <si>
    <t>Marshall Islands</t>
  </si>
  <si>
    <t>MHL</t>
  </si>
  <si>
    <t>Middle income</t>
  </si>
  <si>
    <t>MIC</t>
  </si>
  <si>
    <t>MKD</t>
  </si>
  <si>
    <t>Mali</t>
  </si>
  <si>
    <t>MLI</t>
  </si>
  <si>
    <t>MLT</t>
  </si>
  <si>
    <t>MMR</t>
  </si>
  <si>
    <t>Middle East, North Africa, Afghanistan &amp; Pakistan (excluding high income)</t>
  </si>
  <si>
    <t>MNA</t>
  </si>
  <si>
    <t>MNE</t>
  </si>
  <si>
    <t>Mongolia</t>
  </si>
  <si>
    <t>MNG</t>
  </si>
  <si>
    <t>Northern Mariana Islands</t>
  </si>
  <si>
    <t>MNP</t>
  </si>
  <si>
    <t>MOZ</t>
  </si>
  <si>
    <t>Mauritania</t>
  </si>
  <si>
    <t>MRT</t>
  </si>
  <si>
    <t>MUS</t>
  </si>
  <si>
    <t>Malawi</t>
  </si>
  <si>
    <t>MWI</t>
  </si>
  <si>
    <t>MYS</t>
  </si>
  <si>
    <t>North America</t>
  </si>
  <si>
    <t>NAC</t>
  </si>
  <si>
    <t>NAM</t>
  </si>
  <si>
    <t>New Caledonia</t>
  </si>
  <si>
    <t>NCL</t>
  </si>
  <si>
    <t>Niger</t>
  </si>
  <si>
    <t>NER</t>
  </si>
  <si>
    <t>NGA</t>
  </si>
  <si>
    <t>NIC</t>
  </si>
  <si>
    <t>NLD</t>
  </si>
  <si>
    <t>NOR</t>
  </si>
  <si>
    <t>NPL</t>
  </si>
  <si>
    <t>Nauru</t>
  </si>
  <si>
    <t>NRU</t>
  </si>
  <si>
    <t>NZL</t>
  </si>
  <si>
    <t>OECD members</t>
  </si>
  <si>
    <t>OED</t>
  </si>
  <si>
    <t>OMN</t>
  </si>
  <si>
    <t>Other small states</t>
  </si>
  <si>
    <t>OSS</t>
  </si>
  <si>
    <t>PAK</t>
  </si>
  <si>
    <t>PAN</t>
  </si>
  <si>
    <t>PER</t>
  </si>
  <si>
    <t>PHL</t>
  </si>
  <si>
    <t>Palau</t>
  </si>
  <si>
    <t>PLW</t>
  </si>
  <si>
    <t>Papua New Guinea</t>
  </si>
  <si>
    <t>PNG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</si>
  <si>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</si>
  <si>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</si>
  <si>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</si>
  <si>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</si>
  <si>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</si>
  <si>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</si>
  <si>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</si>
  <si>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</si>
  <si>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</si>
  <si>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</si>
  <si>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</si>
  <si>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</si>
  <si>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</si>
  <si>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</si>
  <si>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</si>
  <si>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</si>
  <si>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</si>
  <si>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</si>
  <si>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</t>
  </si>
  <si>
    <t>ROU</t>
  </si>
  <si>
    <t>Russian Federation</t>
  </si>
  <si>
    <t>RUS</t>
  </si>
  <si>
    <t>Rwanda</t>
  </si>
  <si>
    <t>RWA</t>
  </si>
  <si>
    <t>South Asia</t>
  </si>
  <si>
    <t>SAS</t>
  </si>
  <si>
    <t>SAU</t>
  </si>
  <si>
    <t>Sudan</t>
  </si>
  <si>
    <t>SDN</t>
  </si>
  <si>
    <t>Senegal</t>
  </si>
  <si>
    <t>SEN</t>
  </si>
  <si>
    <t>SGP</t>
  </si>
  <si>
    <t>Solomon Islands</t>
  </si>
  <si>
    <t>SLB</t>
  </si>
  <si>
    <t>Sierra Leone</t>
  </si>
  <si>
    <t>SLE</t>
  </si>
  <si>
    <t>SLV</t>
  </si>
  <si>
    <t>San Marino</t>
  </si>
  <si>
    <t>SMR</t>
  </si>
  <si>
    <t>Somalia, Fed. Rep.</t>
  </si>
  <si>
    <t>SOM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</si>
  <si>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</si>
  <si>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</si>
  <si>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</si>
  <si>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</si>
  <si>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</si>
  <si>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</si>
  <si>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</si>
  <si>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</si>
  <si>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</si>
  <si>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</si>
  <si>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</si>
  <si>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</si>
  <si>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</si>
  <si>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</si>
  <si>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</si>
  <si>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SVN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</si>
  <si>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</si>
  <si>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</si>
  <si>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</si>
  <si>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</si>
  <si>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</si>
  <si>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</si>
  <si>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</si>
  <si>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</si>
  <si>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</si>
  <si>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</si>
  <si>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</si>
  <si>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</si>
  <si>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</si>
  <si>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</si>
  <si>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</si>
  <si>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</si>
  <si>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</si>
  <si>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</si>
  <si>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</si>
  <si>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</si>
  <si>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</si>
  <si>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</si>
  <si>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</si>
  <si>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</si>
  <si>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</si>
  <si>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</si>
  <si>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</si>
  <si>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</si>
  <si>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</si>
  <si>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</si>
  <si>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</si>
  <si>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</si>
  <si>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</si>
  <si>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</si>
  <si>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</si>
  <si>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</si>
  <si>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</si>
  <si>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</si>
  <si>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</t>
  </si>
  <si>
    <t>Turkiye</t>
  </si>
  <si>
    <t>TUR</t>
  </si>
  <si>
    <t>Tuvalu</t>
  </si>
  <si>
    <t>TUV</t>
  </si>
  <si>
    <t>TZA</t>
  </si>
  <si>
    <t>UGA</t>
  </si>
  <si>
    <t>UKR</t>
  </si>
  <si>
    <t>Upper middle income</t>
  </si>
  <si>
    <t>UMC</t>
  </si>
  <si>
    <t>URY</t>
  </si>
  <si>
    <t>USA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</si>
  <si>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</si>
  <si>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</si>
  <si>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</si>
  <si>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</si>
  <si>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</si>
  <si>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</si>
  <si>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</si>
  <si>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</si>
  <si>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</si>
  <si>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</si>
  <si>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</si>
  <si>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</si>
  <si>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</si>
  <si>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</si>
  <si>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</si>
  <si>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</si>
  <si>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</si>
  <si>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</si>
  <si>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</si>
  <si>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</si>
  <si>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</si>
  <si>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ZAF</t>
  </si>
  <si>
    <t>Zambia</t>
  </si>
  <si>
    <t>ZMB</t>
  </si>
  <si>
    <t>ZWE</t>
  </si>
  <si>
    <t>2024</t>
  </si>
  <si>
    <t>GDP per capita</t>
  </si>
  <si>
    <t>2015</t>
  </si>
  <si>
    <t>Mortgage as a percentage of Income</t>
  </si>
  <si>
    <t>GDP growth</t>
  </si>
  <si>
    <t>Price to Income</t>
  </si>
  <si>
    <t>Price</t>
  </si>
  <si>
    <t>Income</t>
  </si>
  <si>
    <t>Price to income</t>
  </si>
  <si>
    <t>delta Price</t>
  </si>
  <si>
    <t>REP price</t>
  </si>
  <si>
    <t>REP growth</t>
  </si>
  <si>
    <t>Economy</t>
  </si>
  <si>
    <t>Code</t>
  </si>
  <si>
    <t>Region</t>
  </si>
  <si>
    <t>Income group</t>
  </si>
  <si>
    <t>Lending category</t>
  </si>
  <si>
    <t>IBRD</t>
  </si>
  <si>
    <t>Blend</t>
  </si>
  <si>
    <t>Côte d’Ivoire</t>
  </si>
  <si>
    <t>Curaçao</t>
  </si>
  <si>
    <t>Puerto Rico (U.S.)</t>
  </si>
  <si>
    <t>São Tomé and Príncipe</t>
  </si>
  <si>
    <t>Taiwan, China</t>
  </si>
  <si>
    <t>TWN</t>
  </si>
  <si>
    <t>Türkiye</t>
  </si>
  <si>
    <t>East Asia &amp; Pacific (IDA &amp; IBRD)</t>
  </si>
  <si>
    <t>Europe &amp; Central Asia (IDA &amp; IBRD)</t>
  </si>
  <si>
    <t>Latin America &amp; Caribbean (IDA &amp; IBRD)</t>
  </si>
  <si>
    <t>Middle East, North Africa, Afghanistan and Pakistan</t>
  </si>
  <si>
    <t>Middle East, North Africa, Afghanistan and Pakistan (excluding high income)</t>
  </si>
  <si>
    <t>Middle East, North Africa, Afghanistan and Pakistan (IDA &amp; IBRD)</t>
  </si>
  <si>
    <t>Sub-Saharan Africa (IDA &amp; IBRD)</t>
  </si>
  <si>
    <t>REP growth per income growth</t>
  </si>
  <si>
    <t>Ok or not?</t>
  </si>
  <si>
    <t>World average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</si>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</sst>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5" fillId="0" borderId="0"/>
  </cellStyleXfs>
  <cellXfs count="13">
    <xf numFmtId="0" fontId="0" fillId="0" borderId="0" xfId="0"/>
    <xf numFmtId="0" fontId="2" fillId="0" borderId="0" xfId="1" applyFont="1"/>
    <xf numFmtId="0" fontId="2" fillId="0" borderId="0" xfId="2" applyFont="1"/>
    <xf numFmtId="0" fontId="1" fillId="0" borderId="0" xfId="1"/>
    <xf numFmtId="0" fontId="1" fillId="2" borderId="0" xfId="2" applyFill="1"/>
    <xf numFmtId="0" fontId="1" fillId="0" borderId="0" xfId="2"/>
    <xf numFmtId="0" fontId="1" fillId="2" borderId="0" xfId="1" applyFill="1"/>
    <xf numFmtId="0" fontId="3" fillId="2" borderId="0" xfId="2" applyFont="1" applyFill="1"/>
    <xf numFmtId="0" fontId="3" fillId="0" borderId="0" xfId="1" applyFont="1" applyAlignment="1">
      <alignment horizontal="left" vertical="top"/>
    </xf>
    <xf numFmtId="0" fontId="3" fillId="0" borderId="0" xfId="1" applyFont="1"/>
    <xf numFmtId="0" fontId="3" fillId="0" borderId="0" xfId="2" applyFont="1"/>
    <xf numFmtId="0" fontId="4" fillId="0" borderId="0" xfId="2" applyFont="1"/>
    <xf numFmtId="0" fontId="3" fillId="0" borderId="0" xfId="3" applyFont="1"/>
  </cellXfs>
  <cellStyles count="4">
    <cellStyle name="Normal" xfId="0" builtinId="0"/>
    <cellStyle name="Normal 2" xfId="1" xr:uid="{C37917A2-26C9-43C5-893F-72B8F9B0B47F}"/>
    <cellStyle name="Normal 5" xfId="2" xr:uid="{7AC5B358-A513-42C1-83B2-B1AD4AFAEAB7}"/>
    <cellStyle name="Normal_cty99" xfId="3" xr:uid="{DB0D6AD3-3721-465C-8439-E645D2F4A6A6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Sheet4!$D$1</c:f>
              <c:strCache>
                <c:ptCount val="1"/>
                <c:pt idx="0">
                  <c:v>2025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20000"/>
                  <a:lumOff val="80000"/>
                  <a:alpha val="51000"/>
                </a:schemeClr>
              </a:solidFill>
              <a:ln w="6350">
                <a:solidFill>
                  <a:schemeClr val="tx1">
                    <a:alpha val="5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Sheet4!$C$3:$C$85</c:f>
              <c:numCache>
                <c:formatCode>General</c:formatCode>
                <c:ptCount val="83"/>
                <c:pt idx="0">
                  <c:v>72111.184462812598</c:v>
                </c:pt>
                <c:pt idx="1">
                  <c:v>73911.43966313597</c:v>
                </c:pt>
                <c:pt idx="2">
                  <c:v>73514.483104525832</c:v>
                </c:pt>
                <c:pt idx="3">
                  <c:v>42224.444535951698</c:v>
                </c:pt>
                <c:pt idx="4">
                  <c:v>64610.379517197114</c:v>
                </c:pt>
                <c:pt idx="5">
                  <c:v>36181.156616977023</c:v>
                </c:pt>
                <c:pt idx="6">
                  <c:v>31106.764355672858</c:v>
                </c:pt>
                <c:pt idx="7">
                  <c:v>49645.745685441332</c:v>
                </c:pt>
                <c:pt idx="8">
                  <c:v>62312.07421875</c:v>
                </c:pt>
                <c:pt idx="9">
                  <c:v>81878.234984918134</c:v>
                </c:pt>
                <c:pt idx="10">
                  <c:v>49968.710827837298</c:v>
                </c:pt>
                <c:pt idx="11">
                  <c:v>65378.384185972063</c:v>
                </c:pt>
                <c:pt idx="12">
                  <c:v>62556.918104540004</c:v>
                </c:pt>
                <c:pt idx="13">
                  <c:v>73551.934769683605</c:v>
                </c:pt>
                <c:pt idx="14">
                  <c:v>44327.209780827565</c:v>
                </c:pt>
                <c:pt idx="15">
                  <c:v>48552.47080925294</c:v>
                </c:pt>
                <c:pt idx="16">
                  <c:v>84256.845457311152</c:v>
                </c:pt>
                <c:pt idx="17">
                  <c:v>133437.47011701888</c:v>
                </c:pt>
                <c:pt idx="18">
                  <c:v>57235.776324413557</c:v>
                </c:pt>
                <c:pt idx="19">
                  <c:v>62014.26751536892</c:v>
                </c:pt>
                <c:pt idx="20">
                  <c:v>52039.171655161132</c:v>
                </c:pt>
                <c:pt idx="21">
                  <c:v>52443.596922362623</c:v>
                </c:pt>
                <c:pt idx="22">
                  <c:v>43394.273282231392</c:v>
                </c:pt>
                <c:pt idx="23">
                  <c:v>55285.899193430414</c:v>
                </c:pt>
                <c:pt idx="24">
                  <c:v>155941.28821079066</c:v>
                </c:pt>
                <c:pt idx="25">
                  <c:v>71017.774425871685</c:v>
                </c:pt>
                <c:pt idx="26">
                  <c:v>86173.629084173808</c:v>
                </c:pt>
                <c:pt idx="27">
                  <c:v>55551.143658637026</c:v>
                </c:pt>
                <c:pt idx="28">
                  <c:v>102037.52680023712</c:v>
                </c:pt>
                <c:pt idx="29">
                  <c:v>41740.16585300117</c:v>
                </c:pt>
                <c:pt idx="30">
                  <c:v>41369.422541498956</c:v>
                </c:pt>
                <c:pt idx="31">
                  <c:v>51262.510575688393</c:v>
                </c:pt>
                <c:pt idx="32">
                  <c:v>51679.888380752695</c:v>
                </c:pt>
                <c:pt idx="33">
                  <c:v>126046.35485561157</c:v>
                </c:pt>
                <c:pt idx="34">
                  <c:v>49558.668912013651</c:v>
                </c:pt>
                <c:pt idx="35">
                  <c:v>71375.372789028523</c:v>
                </c:pt>
                <c:pt idx="36">
                  <c:v>150689.30162582558</c:v>
                </c:pt>
                <c:pt idx="37">
                  <c:v>57186.371353817427</c:v>
                </c:pt>
                <c:pt idx="38">
                  <c:v>57965.294813883731</c:v>
                </c:pt>
                <c:pt idx="39">
                  <c:v>71844.912988057898</c:v>
                </c:pt>
                <c:pt idx="40">
                  <c:v>96497.694797132295</c:v>
                </c:pt>
                <c:pt idx="41">
                  <c:v>79228.73880127602</c:v>
                </c:pt>
                <c:pt idx="42">
                  <c:v>62009.490776536586</c:v>
                </c:pt>
                <c:pt idx="43">
                  <c:v>85809.900384635912</c:v>
                </c:pt>
                <c:pt idx="44">
                  <c:v>36417.874162496009</c:v>
                </c:pt>
                <c:pt idx="45">
                  <c:v>9646.7698438325478</c:v>
                </c:pt>
                <c:pt idx="46">
                  <c:v>12877.635118437232</c:v>
                </c:pt>
                <c:pt idx="47">
                  <c:v>11159.985647609126</c:v>
                </c:pt>
                <c:pt idx="48">
                  <c:v>10821.490976531695</c:v>
                </c:pt>
                <c:pt idx="49">
                  <c:v>10415.1240234375</c:v>
                </c:pt>
                <c:pt idx="50">
                  <c:v>5736.6213433270359</c:v>
                </c:pt>
                <c:pt idx="51">
                  <c:v>6252.1154319955858</c:v>
                </c:pt>
                <c:pt idx="52">
                  <c:v>11794.137548849178</c:v>
                </c:pt>
                <c:pt idx="53">
                  <c:v>15632.592484984809</c:v>
                </c:pt>
                <c:pt idx="54">
                  <c:v>14521.008093763836</c:v>
                </c:pt>
                <c:pt idx="55">
                  <c:v>11878.552870684822</c:v>
                </c:pt>
                <c:pt idx="56">
                  <c:v>27146.381474728154</c:v>
                </c:pt>
                <c:pt idx="57">
                  <c:v>17620.742395612582</c:v>
                </c:pt>
                <c:pt idx="58">
                  <c:v>30431.193122369299</c:v>
                </c:pt>
                <c:pt idx="59">
                  <c:v>22823.17952556931</c:v>
                </c:pt>
                <c:pt idx="60">
                  <c:v>25088.999375713367</c:v>
                </c:pt>
                <c:pt idx="61">
                  <c:v>33010.330760535726</c:v>
                </c:pt>
                <c:pt idx="62">
                  <c:v>23345.496800010747</c:v>
                </c:pt>
                <c:pt idx="63">
                  <c:v>22338.476564063538</c:v>
                </c:pt>
                <c:pt idx="64">
                  <c:v>27104.870267746301</c:v>
                </c:pt>
                <c:pt idx="65">
                  <c:v>22349.436440122994</c:v>
                </c:pt>
                <c:pt idx="66">
                  <c:v>27541.662528338416</c:v>
                </c:pt>
                <c:pt idx="67">
                  <c:v>15840.266856741184</c:v>
                </c:pt>
                <c:pt idx="68">
                  <c:v>13264.027090968028</c:v>
                </c:pt>
                <c:pt idx="69">
                  <c:v>28285.073280298224</c:v>
                </c:pt>
                <c:pt idx="70">
                  <c:v>16448.275517955855</c:v>
                </c:pt>
                <c:pt idx="71">
                  <c:v>14464.31869281728</c:v>
                </c:pt>
                <c:pt idx="72">
                  <c:v>40890.931769440824</c:v>
                </c:pt>
                <c:pt idx="73">
                  <c:v>38779.283044225274</c:v>
                </c:pt>
                <c:pt idx="74">
                  <c:v>31839.759753552396</c:v>
                </c:pt>
                <c:pt idx="75">
                  <c:v>26185.356471325278</c:v>
                </c:pt>
                <c:pt idx="76">
                  <c:v>18614.988069120322</c:v>
                </c:pt>
                <c:pt idx="77">
                  <c:v>34806.948319581694</c:v>
                </c:pt>
                <c:pt idx="78">
                  <c:v>26986.568596749126</c:v>
                </c:pt>
                <c:pt idx="79">
                  <c:v>17802.418249897237</c:v>
                </c:pt>
                <c:pt idx="80">
                  <c:v>32781.014241203149</c:v>
                </c:pt>
                <c:pt idx="81">
                  <c:v>15456.19899336581</c:v>
                </c:pt>
                <c:pt idx="82">
                  <c:v>24712.06585751352</c:v>
                </c:pt>
              </c:numCache>
            </c:numRef>
          </c:xVal>
          <c:yVal>
            <c:numRef>
              <c:f>Sheet4!$D$3:$D$85</c:f>
              <c:numCache>
                <c:formatCode>General</c:formatCode>
                <c:ptCount val="83"/>
                <c:pt idx="0">
                  <c:v>8.1000000000000003E-2</c:v>
                </c:pt>
                <c:pt idx="1">
                  <c:v>0.115</c:v>
                </c:pt>
                <c:pt idx="2">
                  <c:v>6.8000000000000005E-2</c:v>
                </c:pt>
                <c:pt idx="3">
                  <c:v>9.3000000000000013E-2</c:v>
                </c:pt>
                <c:pt idx="4">
                  <c:v>0.10199999999999999</c:v>
                </c:pt>
                <c:pt idx="5">
                  <c:v>0.156</c:v>
                </c:pt>
                <c:pt idx="6">
                  <c:v>0.10300000000000001</c:v>
                </c:pt>
                <c:pt idx="7">
                  <c:v>0.128</c:v>
                </c:pt>
                <c:pt idx="8">
                  <c:v>8.199999999999999E-2</c:v>
                </c:pt>
                <c:pt idx="9">
                  <c:v>6.5000000000000002E-2</c:v>
                </c:pt>
                <c:pt idx="10">
                  <c:v>0.114</c:v>
                </c:pt>
                <c:pt idx="11">
                  <c:v>0.08</c:v>
                </c:pt>
                <c:pt idx="12">
                  <c:v>0.10300000000000001</c:v>
                </c:pt>
                <c:pt idx="13">
                  <c:v>8.900000000000001E-2</c:v>
                </c:pt>
                <c:pt idx="14">
                  <c:v>0.13</c:v>
                </c:pt>
                <c:pt idx="15">
                  <c:v>0.13</c:v>
                </c:pt>
                <c:pt idx="16">
                  <c:v>6.7000000000000004E-2</c:v>
                </c:pt>
                <c:pt idx="17">
                  <c:v>6.7000000000000004E-2</c:v>
                </c:pt>
                <c:pt idx="18">
                  <c:v>0.13699999999999998</c:v>
                </c:pt>
                <c:pt idx="19">
                  <c:v>9.5000000000000001E-2</c:v>
                </c:pt>
                <c:pt idx="20">
                  <c:v>0.122</c:v>
                </c:pt>
                <c:pt idx="21">
                  <c:v>7.2999999999999995E-2</c:v>
                </c:pt>
                <c:pt idx="22">
                  <c:v>8.5999999999999993E-2</c:v>
                </c:pt>
                <c:pt idx="23">
                  <c:v>0.124</c:v>
                </c:pt>
                <c:pt idx="24">
                  <c:v>8.5999999999999993E-2</c:v>
                </c:pt>
                <c:pt idx="25">
                  <c:v>0.11199999999999999</c:v>
                </c:pt>
                <c:pt idx="26">
                  <c:v>7.6999999999999999E-2</c:v>
                </c:pt>
                <c:pt idx="27">
                  <c:v>7.2999999999999995E-2</c:v>
                </c:pt>
                <c:pt idx="28">
                  <c:v>8.4000000000000005E-2</c:v>
                </c:pt>
                <c:pt idx="29">
                  <c:v>3.1E-2</c:v>
                </c:pt>
                <c:pt idx="30">
                  <c:v>0.11199999999999999</c:v>
                </c:pt>
                <c:pt idx="31">
                  <c:v>0.11</c:v>
                </c:pt>
                <c:pt idx="32">
                  <c:v>0.14699999999999999</c:v>
                </c:pt>
                <c:pt idx="33">
                  <c:v>5.2000000000000005E-2</c:v>
                </c:pt>
                <c:pt idx="34">
                  <c:v>0.10300000000000001</c:v>
                </c:pt>
                <c:pt idx="35">
                  <c:v>3.1E-2</c:v>
                </c:pt>
                <c:pt idx="36">
                  <c:v>0.23199999999999998</c:v>
                </c:pt>
                <c:pt idx="37">
                  <c:v>0.13</c:v>
                </c:pt>
                <c:pt idx="38">
                  <c:v>8.5000000000000006E-2</c:v>
                </c:pt>
                <c:pt idx="39">
                  <c:v>7.6999999999999999E-2</c:v>
                </c:pt>
                <c:pt idx="40">
                  <c:v>0.11</c:v>
                </c:pt>
                <c:pt idx="41">
                  <c:v>7.0000000000000007E-2</c:v>
                </c:pt>
                <c:pt idx="42">
                  <c:v>8.8000000000000009E-2</c:v>
                </c:pt>
                <c:pt idx="43">
                  <c:v>3.3000000000000002E-2</c:v>
                </c:pt>
                <c:pt idx="44">
                  <c:v>0.13</c:v>
                </c:pt>
                <c:pt idx="45">
                  <c:v>0.128</c:v>
                </c:pt>
                <c:pt idx="46">
                  <c:v>0.12</c:v>
                </c:pt>
                <c:pt idx="47">
                  <c:v>0.109</c:v>
                </c:pt>
                <c:pt idx="48">
                  <c:v>7.0000000000000007E-2</c:v>
                </c:pt>
                <c:pt idx="49">
                  <c:v>0.13400000000000001</c:v>
                </c:pt>
                <c:pt idx="50">
                  <c:v>0.32100000000000001</c:v>
                </c:pt>
                <c:pt idx="51">
                  <c:v>0.14300000000000002</c:v>
                </c:pt>
                <c:pt idx="52">
                  <c:v>0.222</c:v>
                </c:pt>
                <c:pt idx="53">
                  <c:v>0.34200000000000003</c:v>
                </c:pt>
                <c:pt idx="54">
                  <c:v>0.122</c:v>
                </c:pt>
                <c:pt idx="55">
                  <c:v>0.13500000000000001</c:v>
                </c:pt>
                <c:pt idx="56">
                  <c:v>0.153</c:v>
                </c:pt>
                <c:pt idx="57">
                  <c:v>0.16699999999999998</c:v>
                </c:pt>
                <c:pt idx="58">
                  <c:v>0.17699999999999999</c:v>
                </c:pt>
                <c:pt idx="59">
                  <c:v>0.19399999999999998</c:v>
                </c:pt>
                <c:pt idx="60">
                  <c:v>0.156</c:v>
                </c:pt>
                <c:pt idx="61">
                  <c:v>0.128</c:v>
                </c:pt>
                <c:pt idx="62">
                  <c:v>0.13200000000000001</c:v>
                </c:pt>
                <c:pt idx="63">
                  <c:v>0.152</c:v>
                </c:pt>
                <c:pt idx="64">
                  <c:v>0.28499999999999998</c:v>
                </c:pt>
                <c:pt idx="65">
                  <c:v>0.18100000000000002</c:v>
                </c:pt>
                <c:pt idx="66">
                  <c:v>0.16500000000000001</c:v>
                </c:pt>
                <c:pt idx="67">
                  <c:v>0.11900000000000001</c:v>
                </c:pt>
                <c:pt idx="68">
                  <c:v>0.17499999999999999</c:v>
                </c:pt>
                <c:pt idx="69">
                  <c:v>0.127</c:v>
                </c:pt>
                <c:pt idx="70">
                  <c:v>0.14899999999999999</c:v>
                </c:pt>
                <c:pt idx="71">
                  <c:v>8.4000000000000005E-2</c:v>
                </c:pt>
                <c:pt idx="72">
                  <c:v>9.9000000000000005E-2</c:v>
                </c:pt>
                <c:pt idx="73">
                  <c:v>8.6999999999999994E-2</c:v>
                </c:pt>
                <c:pt idx="74">
                  <c:v>0.185</c:v>
                </c:pt>
                <c:pt idx="75">
                  <c:v>0.11800000000000001</c:v>
                </c:pt>
                <c:pt idx="76">
                  <c:v>0.13300000000000001</c:v>
                </c:pt>
                <c:pt idx="77">
                  <c:v>0.129</c:v>
                </c:pt>
                <c:pt idx="78">
                  <c:v>0.12300000000000001</c:v>
                </c:pt>
                <c:pt idx="79">
                  <c:v>0.184</c:v>
                </c:pt>
                <c:pt idx="80">
                  <c:v>0.16</c:v>
                </c:pt>
                <c:pt idx="81">
                  <c:v>3.2000000000000001E-2</c:v>
                </c:pt>
                <c:pt idx="82">
                  <c:v>0.252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91-41A9-875B-F1FD5091EAA1}"/>
            </c:ext>
          </c:extLst>
        </c:ser>
        <c:ser>
          <c:idx val="1"/>
          <c:order val="1"/>
          <c:tx>
            <c:strRef>
              <c:f>Sheet4!$F$1</c:f>
              <c:strCache>
                <c:ptCount val="1"/>
                <c:pt idx="0">
                  <c:v>2015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>
                  <a:alpha val="10000"/>
                </a:srgbClr>
              </a:solidFill>
              <a:ln w="9525">
                <a:solidFill>
                  <a:schemeClr val="tx1">
                    <a:alpha val="1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Sheet4!$F$3:$F$85</c:f>
              <c:numCache>
                <c:formatCode>General</c:formatCode>
                <c:ptCount val="83"/>
                <c:pt idx="0">
                  <c:v>46464.586762792911</c:v>
                </c:pt>
                <c:pt idx="1">
                  <c:v>49549.316231144054</c:v>
                </c:pt>
                <c:pt idx="2">
                  <c:v>46071.914889496016</c:v>
                </c:pt>
                <c:pt idx="3">
                  <c:v>17652.947096756332</c:v>
                </c:pt>
                <c:pt idx="4">
                  <c:v>44668.091281430337</c:v>
                </c:pt>
                <c:pt idx="5">
                  <c:v>22468.312574554722</c:v>
                </c:pt>
                <c:pt idx="6">
                  <c:v>17525.140462514501</c:v>
                </c:pt>
                <c:pt idx="7">
                  <c:v>22187.17739422802</c:v>
                </c:pt>
                <c:pt idx="8">
                  <c:v>29315.724609375</c:v>
                </c:pt>
                <c:pt idx="9">
                  <c:v>48897.209977661121</c:v>
                </c:pt>
                <c:pt idx="10">
                  <c:v>29712.629947372814</c:v>
                </c:pt>
                <c:pt idx="11">
                  <c:v>42257.859379129681</c:v>
                </c:pt>
                <c:pt idx="12">
                  <c:v>40905.17677509936</c:v>
                </c:pt>
                <c:pt idx="13">
                  <c:v>48545.40072196204</c:v>
                </c:pt>
                <c:pt idx="14">
                  <c:v>26607.725679697571</c:v>
                </c:pt>
                <c:pt idx="15">
                  <c:v>26937.732081886443</c:v>
                </c:pt>
                <c:pt idx="16">
                  <c:v>49201.064096455295</c:v>
                </c:pt>
                <c:pt idx="17">
                  <c:v>71588.265663837767</c:v>
                </c:pt>
                <c:pt idx="18">
                  <c:v>35870.792715630116</c:v>
                </c:pt>
                <c:pt idx="19">
                  <c:v>37384.37964554059</c:v>
                </c:pt>
                <c:pt idx="20">
                  <c:v>40898.806973960003</c:v>
                </c:pt>
                <c:pt idx="21">
                  <c:v>45267.308534745178</c:v>
                </c:pt>
                <c:pt idx="22">
                  <c:v>22543.918316410469</c:v>
                </c:pt>
                <c:pt idx="23">
                  <c:v>26948.591937164463</c:v>
                </c:pt>
                <c:pt idx="24">
                  <c:v>107859.68599930758</c:v>
                </c:pt>
                <c:pt idx="25">
                  <c:v>35844.478646050586</c:v>
                </c:pt>
                <c:pt idx="26">
                  <c:v>50956.693094218521</c:v>
                </c:pt>
                <c:pt idx="27">
                  <c:v>37513.296387244161</c:v>
                </c:pt>
                <c:pt idx="28">
                  <c:v>60737.886813277903</c:v>
                </c:pt>
                <c:pt idx="29">
                  <c:v>36058.166608478794</c:v>
                </c:pt>
                <c:pt idx="30">
                  <c:v>27245.278840263127</c:v>
                </c:pt>
                <c:pt idx="31">
                  <c:v>26988.1069013509</c:v>
                </c:pt>
                <c:pt idx="32">
                  <c:v>29608.007151395595</c:v>
                </c:pt>
                <c:pt idx="33">
                  <c:v>102545.86329127896</c:v>
                </c:pt>
                <c:pt idx="34">
                  <c:v>20201.858456166166</c:v>
                </c:pt>
                <c:pt idx="35">
                  <c:v>53930.827387262187</c:v>
                </c:pt>
                <c:pt idx="36">
                  <c:v>87156.187383315017</c:v>
                </c:pt>
                <c:pt idx="37">
                  <c:v>31336.204385888104</c:v>
                </c:pt>
                <c:pt idx="38">
                  <c:v>35228.6333036223</c:v>
                </c:pt>
                <c:pt idx="39">
                  <c:v>48772.069605727731</c:v>
                </c:pt>
                <c:pt idx="40">
                  <c:v>65265.045733559971</c:v>
                </c:pt>
                <c:pt idx="41">
                  <c:v>73986.063639594504</c:v>
                </c:pt>
                <c:pt idx="42">
                  <c:v>42515.278865824046</c:v>
                </c:pt>
                <c:pt idx="43">
                  <c:v>56849.46979231594</c:v>
                </c:pt>
                <c:pt idx="44">
                  <c:v>22168.611418967605</c:v>
                </c:pt>
                <c:pt idx="45">
                  <c:v>4212.2357808942761</c:v>
                </c:pt>
                <c:pt idx="46">
                  <c:v>8757.3177711540648</c:v>
                </c:pt>
                <c:pt idx="47">
                  <c:v>5425.0359909104618</c:v>
                </c:pt>
                <c:pt idx="48">
                  <c:v>8967.0799583780827</c:v>
                </c:pt>
                <c:pt idx="49">
                  <c:v>7799.09228515625</c:v>
                </c:pt>
                <c:pt idx="50">
                  <c:v>2957.3055914550432</c:v>
                </c:pt>
                <c:pt idx="51">
                  <c:v>4480.2631346098487</c:v>
                </c:pt>
                <c:pt idx="52">
                  <c:v>6894.2670221793451</c:v>
                </c:pt>
                <c:pt idx="53">
                  <c:v>12227.171484951274</c:v>
                </c:pt>
                <c:pt idx="54">
                  <c:v>10782.543838244115</c:v>
                </c:pt>
                <c:pt idx="55">
                  <c:v>6799.5733284218295</c:v>
                </c:pt>
                <c:pt idx="56">
                  <c:v>11571.706559893075</c:v>
                </c:pt>
                <c:pt idx="57">
                  <c:v>13807.351584147766</c:v>
                </c:pt>
                <c:pt idx="58">
                  <c:v>19899.149927524544</c:v>
                </c:pt>
                <c:pt idx="59">
                  <c:v>9756.8408483602598</c:v>
                </c:pt>
                <c:pt idx="60">
                  <c:v>15075.272634791074</c:v>
                </c:pt>
                <c:pt idx="61">
                  <c:v>18133.531308588295</c:v>
                </c:pt>
                <c:pt idx="62">
                  <c:v>11066.154068834705</c:v>
                </c:pt>
                <c:pt idx="63">
                  <c:v>14821.438317518334</c:v>
                </c:pt>
                <c:pt idx="64">
                  <c:v>13463.333151110473</c:v>
                </c:pt>
                <c:pt idx="65">
                  <c:v>13332.055504821143</c:v>
                </c:pt>
                <c:pt idx="66">
                  <c:v>14804.097406965937</c:v>
                </c:pt>
                <c:pt idx="67">
                  <c:v>10877.750746138814</c:v>
                </c:pt>
                <c:pt idx="68">
                  <c:v>7933.7369785899909</c:v>
                </c:pt>
                <c:pt idx="69">
                  <c:v>12269.652893276785</c:v>
                </c:pt>
                <c:pt idx="70">
                  <c:v>10027.537299602549</c:v>
                </c:pt>
                <c:pt idx="71">
                  <c:v>9334.4660486631528</c:v>
                </c:pt>
                <c:pt idx="72">
                  <c:v>22484.365138260669</c:v>
                </c:pt>
                <c:pt idx="73">
                  <c:v>24526.394271601155</c:v>
                </c:pt>
                <c:pt idx="74">
                  <c:v>20269.523509561048</c:v>
                </c:pt>
                <c:pt idx="75">
                  <c:v>19071.444419646581</c:v>
                </c:pt>
                <c:pt idx="76">
                  <c:v>9197.6183820427232</c:v>
                </c:pt>
                <c:pt idx="77">
                  <c:v>15033.061265649618</c:v>
                </c:pt>
                <c:pt idx="78">
                  <c:v>14045.071137177483</c:v>
                </c:pt>
                <c:pt idx="79">
                  <c:v>11600.387399286728</c:v>
                </c:pt>
                <c:pt idx="80">
                  <c:v>14523.53903407022</c:v>
                </c:pt>
                <c:pt idx="81">
                  <c:v>13397.523481334631</c:v>
                </c:pt>
                <c:pt idx="82">
                  <c:v>15791.171476220708</c:v>
                </c:pt>
              </c:numCache>
            </c:numRef>
          </c:xVal>
          <c:yVal>
            <c:numRef>
              <c:f>Sheet4!$G$3:$G$85</c:f>
              <c:numCache>
                <c:formatCode>General</c:formatCode>
                <c:ptCount val="83"/>
                <c:pt idx="0">
                  <c:v>7.0999999999999994E-2</c:v>
                </c:pt>
                <c:pt idx="1">
                  <c:v>9.6000000000000002E-2</c:v>
                </c:pt>
                <c:pt idx="2">
                  <c:v>6.5000000000000002E-2</c:v>
                </c:pt>
                <c:pt idx="3">
                  <c:v>9.4E-2</c:v>
                </c:pt>
                <c:pt idx="4">
                  <c:v>5.5E-2</c:v>
                </c:pt>
                <c:pt idx="5">
                  <c:v>0.10800000000000001</c:v>
                </c:pt>
                <c:pt idx="6">
                  <c:v>5.7000000000000002E-2</c:v>
                </c:pt>
                <c:pt idx="7">
                  <c:v>0.125</c:v>
                </c:pt>
                <c:pt idx="8">
                  <c:v>7.400000000000001E-2</c:v>
                </c:pt>
                <c:pt idx="9">
                  <c:v>0.05</c:v>
                </c:pt>
                <c:pt idx="10">
                  <c:v>0.11599999999999999</c:v>
                </c:pt>
                <c:pt idx="11">
                  <c:v>7.0000000000000007E-2</c:v>
                </c:pt>
                <c:pt idx="12">
                  <c:v>9.6999999999999989E-2</c:v>
                </c:pt>
                <c:pt idx="13">
                  <c:v>6.6000000000000003E-2</c:v>
                </c:pt>
                <c:pt idx="14">
                  <c:v>9.6999999999999989E-2</c:v>
                </c:pt>
                <c:pt idx="15">
                  <c:v>8.5999999999999993E-2</c:v>
                </c:pt>
                <c:pt idx="16">
                  <c:v>5.5999999999999994E-2</c:v>
                </c:pt>
                <c:pt idx="17">
                  <c:v>6.0999999999999999E-2</c:v>
                </c:pt>
                <c:pt idx="18">
                  <c:v>0.107</c:v>
                </c:pt>
                <c:pt idx="19">
                  <c:v>0.11699999999999999</c:v>
                </c:pt>
                <c:pt idx="20">
                  <c:v>9.1999999999999998E-2</c:v>
                </c:pt>
                <c:pt idx="21">
                  <c:v>6.0999999999999999E-2</c:v>
                </c:pt>
                <c:pt idx="22">
                  <c:v>0.122</c:v>
                </c:pt>
                <c:pt idx="23">
                  <c:v>0.129</c:v>
                </c:pt>
                <c:pt idx="24">
                  <c:v>8.3000000000000004E-2</c:v>
                </c:pt>
                <c:pt idx="25">
                  <c:v>7.2000000000000008E-2</c:v>
                </c:pt>
                <c:pt idx="26">
                  <c:v>6.2E-2</c:v>
                </c:pt>
                <c:pt idx="27">
                  <c:v>5.7999999999999996E-2</c:v>
                </c:pt>
                <c:pt idx="28">
                  <c:v>7.6999999999999999E-2</c:v>
                </c:pt>
                <c:pt idx="29">
                  <c:v>3.2000000000000001E-2</c:v>
                </c:pt>
                <c:pt idx="30">
                  <c:v>0.10800000000000001</c:v>
                </c:pt>
                <c:pt idx="31">
                  <c:v>0.106</c:v>
                </c:pt>
                <c:pt idx="32">
                  <c:v>8.3000000000000004E-2</c:v>
                </c:pt>
                <c:pt idx="33">
                  <c:v>6.6000000000000003E-2</c:v>
                </c:pt>
                <c:pt idx="34">
                  <c:v>0.11800000000000001</c:v>
                </c:pt>
                <c:pt idx="35">
                  <c:v>3.1E-2</c:v>
                </c:pt>
                <c:pt idx="36">
                  <c:v>0.214</c:v>
                </c:pt>
                <c:pt idx="37">
                  <c:v>0.106</c:v>
                </c:pt>
                <c:pt idx="38">
                  <c:v>9.6000000000000002E-2</c:v>
                </c:pt>
                <c:pt idx="39">
                  <c:v>9.1999999999999998E-2</c:v>
                </c:pt>
                <c:pt idx="40">
                  <c:v>7.2999999999999995E-2</c:v>
                </c:pt>
                <c:pt idx="41">
                  <c:v>6.2E-2</c:v>
                </c:pt>
                <c:pt idx="42">
                  <c:v>8.5999999999999993E-2</c:v>
                </c:pt>
                <c:pt idx="43">
                  <c:v>2.6000000000000002E-2</c:v>
                </c:pt>
                <c:pt idx="44">
                  <c:v>0.11199999999999999</c:v>
                </c:pt>
                <c:pt idx="45">
                  <c:v>0.109</c:v>
                </c:pt>
                <c:pt idx="46">
                  <c:v>0.10300000000000001</c:v>
                </c:pt>
                <c:pt idx="47">
                  <c:v>0.10099999999999999</c:v>
                </c:pt>
                <c:pt idx="48">
                  <c:v>8.5999999999999993E-2</c:v>
                </c:pt>
                <c:pt idx="49">
                  <c:v>0.161</c:v>
                </c:pt>
                <c:pt idx="50">
                  <c:v>0.19699999999999998</c:v>
                </c:pt>
                <c:pt idx="51">
                  <c:v>0.14300000000000002</c:v>
                </c:pt>
                <c:pt idx="52">
                  <c:v>0.185</c:v>
                </c:pt>
                <c:pt idx="53">
                  <c:v>0.14300000000000002</c:v>
                </c:pt>
                <c:pt idx="54">
                  <c:v>0.10800000000000001</c:v>
                </c:pt>
                <c:pt idx="55">
                  <c:v>0.14699999999999999</c:v>
                </c:pt>
                <c:pt idx="56">
                  <c:v>0.14599999999999999</c:v>
                </c:pt>
                <c:pt idx="57">
                  <c:v>0.20899999999999999</c:v>
                </c:pt>
                <c:pt idx="58">
                  <c:v>0.11599999999999999</c:v>
                </c:pt>
                <c:pt idx="59">
                  <c:v>0.13400000000000001</c:v>
                </c:pt>
                <c:pt idx="60">
                  <c:v>0.16200000000000001</c:v>
                </c:pt>
                <c:pt idx="61">
                  <c:v>0.16399999999999998</c:v>
                </c:pt>
                <c:pt idx="62">
                  <c:v>0.125</c:v>
                </c:pt>
                <c:pt idx="63">
                  <c:v>0.16699999999999998</c:v>
                </c:pt>
                <c:pt idx="64">
                  <c:v>0.26400000000000001</c:v>
                </c:pt>
                <c:pt idx="65">
                  <c:v>0.14400000000000002</c:v>
                </c:pt>
                <c:pt idx="66">
                  <c:v>0.115</c:v>
                </c:pt>
                <c:pt idx="67">
                  <c:v>0.14699999999999999</c:v>
                </c:pt>
                <c:pt idx="68">
                  <c:v>0.254</c:v>
                </c:pt>
                <c:pt idx="69">
                  <c:v>0.152</c:v>
                </c:pt>
                <c:pt idx="70">
                  <c:v>0.18899999999999997</c:v>
                </c:pt>
                <c:pt idx="71">
                  <c:v>8.900000000000001E-2</c:v>
                </c:pt>
                <c:pt idx="72">
                  <c:v>0.127</c:v>
                </c:pt>
                <c:pt idx="73">
                  <c:v>8.4000000000000005E-2</c:v>
                </c:pt>
                <c:pt idx="74">
                  <c:v>0.221</c:v>
                </c:pt>
                <c:pt idx="75">
                  <c:v>6.3E-2</c:v>
                </c:pt>
                <c:pt idx="76">
                  <c:v>0.17100000000000001</c:v>
                </c:pt>
                <c:pt idx="77">
                  <c:v>0.161</c:v>
                </c:pt>
                <c:pt idx="78">
                  <c:v>0.154</c:v>
                </c:pt>
                <c:pt idx="79">
                  <c:v>0.16300000000000001</c:v>
                </c:pt>
                <c:pt idx="80">
                  <c:v>0.17100000000000001</c:v>
                </c:pt>
                <c:pt idx="81">
                  <c:v>3.1E-2</c:v>
                </c:pt>
                <c:pt idx="82">
                  <c:v>0.20800000000000002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91-41A9-875B-F1FD5091E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9199"/>
        <c:axId val="6507279"/>
      </c:scatterChart>
      <c:valAx>
        <c:axId val="6509199"/>
        <c:scaling>
          <c:orientation val="minMax"/>
          <c:max val="1000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7279"/>
        <c:crosses val="autoZero"/>
        <c:crossBetween val="midCat"/>
      </c:valAx>
      <c:valAx>
        <c:axId val="6507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9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High income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Sheet4!$I$3:$I$47</c:f>
              <c:numCache>
                <c:formatCode>General</c:formatCode>
                <c:ptCount val="45"/>
                <c:pt idx="0">
                  <c:v>0.55196009448977845</c:v>
                </c:pt>
                <c:pt idx="1">
                  <c:v>0.49167426081813792</c:v>
                </c:pt>
                <c:pt idx="2">
                  <c:v>0.59564635593834359</c:v>
                </c:pt>
                <c:pt idx="3">
                  <c:v>1.3919204144508139</c:v>
                </c:pt>
                <c:pt idx="4">
                  <c:v>0.44645490021323786</c:v>
                </c:pt>
                <c:pt idx="5">
                  <c:v>0.61031926616296261</c:v>
                </c:pt>
                <c:pt idx="6">
                  <c:v>0.77497946006246576</c:v>
                </c:pt>
                <c:pt idx="7">
                  <c:v>1.2375872695891745</c:v>
                </c:pt>
                <c:pt idx="8">
                  <c:v>1.1255512203448301</c:v>
                </c:pt>
                <c:pt idx="9">
                  <c:v>0.67449707298891948</c:v>
                </c:pt>
                <c:pt idx="10">
                  <c:v>0.6817330177888048</c:v>
                </c:pt>
                <c:pt idx="11">
                  <c:v>0.54712957888872982</c:v>
                </c:pt>
                <c:pt idx="12">
                  <c:v>0.5293154323347391</c:v>
                </c:pt>
                <c:pt idx="13">
                  <c:v>0.51511644101865572</c:v>
                </c:pt>
                <c:pt idx="14">
                  <c:v>0.66595260017470981</c:v>
                </c:pt>
                <c:pt idx="15">
                  <c:v>0.80239638072207087</c:v>
                </c:pt>
                <c:pt idx="16">
                  <c:v>0.71250047137459083</c:v>
                </c:pt>
                <c:pt idx="17">
                  <c:v>0.86395729634813234</c:v>
                </c:pt>
                <c:pt idx="18">
                  <c:v>0.59560946361450195</c:v>
                </c:pt>
                <c:pt idx="19">
                  <c:v>0.65882831555200938</c:v>
                </c:pt>
                <c:pt idx="20">
                  <c:v>0.27238849994558834</c:v>
                </c:pt>
                <c:pt idx="21">
                  <c:v>0.15853136888201003</c:v>
                </c:pt>
                <c:pt idx="22">
                  <c:v>0.92487715192985132</c:v>
                </c:pt>
                <c:pt idx="23">
                  <c:v>1.0515320177892606</c:v>
                </c:pt>
                <c:pt idx="24">
                  <c:v>0.44577917843921555</c:v>
                </c:pt>
                <c:pt idx="25">
                  <c:v>0.98127513939156041</c:v>
                </c:pt>
                <c:pt idx="26">
                  <c:v>0.69111502045157147</c:v>
                </c:pt>
                <c:pt idx="27">
                  <c:v>0.48083876941100723</c:v>
                </c:pt>
                <c:pt idx="28">
                  <c:v>0.679965045769928</c:v>
                </c:pt>
                <c:pt idx="29">
                  <c:v>0.15757870626695425</c:v>
                </c:pt>
                <c:pt idx="30">
                  <c:v>0.51840701591070304</c:v>
                </c:pt>
                <c:pt idx="31">
                  <c:v>0.8994481814922124</c:v>
                </c:pt>
                <c:pt idx="32">
                  <c:v>0.74547000466786639</c:v>
                </c:pt>
                <c:pt idx="33">
                  <c:v>0.22917054681747673</c:v>
                </c:pt>
                <c:pt idx="34">
                  <c:v>1.4531737522835169</c:v>
                </c:pt>
                <c:pt idx="35">
                  <c:v>0.32346148291962851</c:v>
                </c:pt>
                <c:pt idx="36">
                  <c:v>0.72895701555978332</c:v>
                </c:pt>
                <c:pt idx="37">
                  <c:v>0.82492974099858252</c:v>
                </c:pt>
                <c:pt idx="38">
                  <c:v>0.64540288333932017</c:v>
                </c:pt>
                <c:pt idx="39">
                  <c:v>0.4730749293366161</c:v>
                </c:pt>
                <c:pt idx="40">
                  <c:v>0.47855094120484409</c:v>
                </c:pt>
                <c:pt idx="41">
                  <c:v>7.0860306708841359E-2</c:v>
                </c:pt>
                <c:pt idx="42">
                  <c:v>0.45852249898760467</c:v>
                </c:pt>
                <c:pt idx="43">
                  <c:v>0.50942305527420073</c:v>
                </c:pt>
                <c:pt idx="44">
                  <c:v>0.64276749112651443</c:v>
                </c:pt>
              </c:numCache>
            </c:numRef>
          </c:xVal>
          <c:yVal>
            <c:numRef>
              <c:f>Sheet4!$J$3:$J$47</c:f>
              <c:numCache>
                <c:formatCode>General</c:formatCode>
                <c:ptCount val="45"/>
                <c:pt idx="0">
                  <c:v>0.77054602329115585</c:v>
                </c:pt>
                <c:pt idx="1">
                  <c:v>0.78690145827172775</c:v>
                </c:pt>
                <c:pt idx="2">
                  <c:v>0.66929157236626713</c:v>
                </c:pt>
                <c:pt idx="3">
                  <c:v>1.3664744525949546</c:v>
                </c:pt>
                <c:pt idx="4">
                  <c:v>1.6825163603954585</c:v>
                </c:pt>
                <c:pt idx="5">
                  <c:v>1.3260167177909459</c:v>
                </c:pt>
                <c:pt idx="6">
                  <c:v>2.2074190243234031</c:v>
                </c:pt>
                <c:pt idx="7">
                  <c:v>1.291289364059315</c:v>
                </c:pt>
                <c:pt idx="8">
                  <c:v>1.3553405414631898</c:v>
                </c:pt>
                <c:pt idx="9">
                  <c:v>1.1768461948855951</c:v>
                </c:pt>
                <c:pt idx="10">
                  <c:v>0.65273762093037724</c:v>
                </c:pt>
                <c:pt idx="11">
                  <c:v>0.76814809015854824</c:v>
                </c:pt>
                <c:pt idx="12">
                  <c:v>0.62391226320080562</c:v>
                </c:pt>
                <c:pt idx="13">
                  <c:v>1.043111564403945</c:v>
                </c:pt>
                <c:pt idx="14">
                  <c:v>1.2327199796155908</c:v>
                </c:pt>
                <c:pt idx="15">
                  <c:v>1.724552668533363</c:v>
                </c:pt>
                <c:pt idx="16">
                  <c:v>1.0488844925374572</c:v>
                </c:pt>
                <c:pt idx="17">
                  <c:v>1.0472973582840148</c:v>
                </c:pt>
                <c:pt idx="18">
                  <c:v>1.0429766029456706</c:v>
                </c:pt>
                <c:pt idx="19">
                  <c:v>0.3469118801490676</c:v>
                </c:pt>
                <c:pt idx="20">
                  <c:v>0.68729779340610597</c:v>
                </c:pt>
                <c:pt idx="21">
                  <c:v>0.3864391791538806</c:v>
                </c:pt>
                <c:pt idx="22">
                  <c:v>0.35688061529481319</c:v>
                </c:pt>
                <c:pt idx="23">
                  <c:v>0.97201527291370793</c:v>
                </c:pt>
                <c:pt idx="24">
                  <c:v>0.49803625717798217</c:v>
                </c:pt>
                <c:pt idx="25">
                  <c:v>2.0819835501646486</c:v>
                </c:pt>
                <c:pt idx="26">
                  <c:v>1.1002557512059838</c:v>
                </c:pt>
                <c:pt idx="27">
                  <c:v>0.86381431322419888</c:v>
                </c:pt>
                <c:pt idx="28">
                  <c:v>0.83268914083992152</c:v>
                </c:pt>
                <c:pt idx="29">
                  <c:v>0.12140437169611173</c:v>
                </c:pt>
                <c:pt idx="30">
                  <c:v>0.57464431279628436</c:v>
                </c:pt>
                <c:pt idx="31">
                  <c:v>0.97112547135984317</c:v>
                </c:pt>
                <c:pt idx="32">
                  <c:v>2.0913745865804381</c:v>
                </c:pt>
                <c:pt idx="33">
                  <c:v>-3.1562599477139575E-2</c:v>
                </c:pt>
                <c:pt idx="34">
                  <c:v>1.1413296312305272</c:v>
                </c:pt>
                <c:pt idx="35">
                  <c:v>0.32346148291962828</c:v>
                </c:pt>
                <c:pt idx="36">
                  <c:v>0.87438330658817609</c:v>
                </c:pt>
                <c:pt idx="37">
                  <c:v>1.23812138046996</c:v>
                </c:pt>
                <c:pt idx="38">
                  <c:v>0.45686713629002296</c:v>
                </c:pt>
                <c:pt idx="39">
                  <c:v>0.23289966911868953</c:v>
                </c:pt>
                <c:pt idx="40">
                  <c:v>1.2279534730483954</c:v>
                </c:pt>
                <c:pt idx="41">
                  <c:v>0.2090358301551436</c:v>
                </c:pt>
                <c:pt idx="42">
                  <c:v>0.49244162687103765</c:v>
                </c:pt>
                <c:pt idx="43">
                  <c:v>0.91580618554033166</c:v>
                </c:pt>
                <c:pt idx="44">
                  <c:v>0.90678369505756184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8F-48B4-9485-EEB3B06BAA38}"/>
            </c:ext>
          </c:extLst>
        </c:ser>
        <c:ser>
          <c:idx val="1"/>
          <c:order val="1"/>
          <c:tx>
            <c:strRef>
              <c:f>Sheet4!$A$48</c:f>
              <c:strCache>
                <c:ptCount val="1"/>
                <c:pt idx="0">
                  <c:v>Lower middle income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Sheet4!$I$48:$I$58</c:f>
              <c:numCache>
                <c:formatCode>General</c:formatCode>
                <c:ptCount val="11"/>
                <c:pt idx="0">
                  <c:v>1.2901780302964183</c:v>
                </c:pt>
                <c:pt idx="1">
                  <c:v>0.47049992417257913</c:v>
                </c:pt>
                <c:pt idx="2">
                  <c:v>1.0571265640094292</c:v>
                </c:pt>
                <c:pt idx="3">
                  <c:v>0.20680210578706926</c:v>
                </c:pt>
                <c:pt idx="4">
                  <c:v>0.33542771935911753</c:v>
                </c:pt>
                <c:pt idx="5">
                  <c:v>0.93981351129306989</c:v>
                </c:pt>
                <c:pt idx="6">
                  <c:v>0.39547951630301603</c:v>
                </c:pt>
                <c:pt idx="7">
                  <c:v>0.71071667385475523</c:v>
                </c:pt>
                <c:pt idx="8">
                  <c:v>0.27851257375630945</c:v>
                </c:pt>
                <c:pt idx="9">
                  <c:v>0.34671449628240159</c:v>
                </c:pt>
                <c:pt idx="10">
                  <c:v>0.74695562455855091</c:v>
                </c:pt>
              </c:numCache>
            </c:numRef>
          </c:xVal>
          <c:yVal>
            <c:numRef>
              <c:f>Sheet4!$J$48:$J$58</c:f>
              <c:numCache>
                <c:formatCode>General</c:formatCode>
                <c:ptCount val="11"/>
                <c:pt idx="0">
                  <c:v>1.6893833750269862</c:v>
                </c:pt>
                <c:pt idx="1">
                  <c:v>0.71320379515251942</c:v>
                </c:pt>
                <c:pt idx="2">
                  <c:v>1.2200672819507701</c:v>
                </c:pt>
                <c:pt idx="3">
                  <c:v>-1.7719216219827305E-2</c:v>
                </c:pt>
                <c:pt idx="4">
                  <c:v>0.11147400244796124</c:v>
                </c:pt>
                <c:pt idx="5">
                  <c:v>2.1608128788074894</c:v>
                </c:pt>
                <c:pt idx="6">
                  <c:v>0.39547951630301603</c:v>
                </c:pt>
                <c:pt idx="7">
                  <c:v>1.0528600086257063</c:v>
                </c:pt>
                <c:pt idx="8">
                  <c:v>2.0577014001724323</c:v>
                </c:pt>
                <c:pt idx="9">
                  <c:v>0.52128859765234226</c:v>
                </c:pt>
                <c:pt idx="10">
                  <c:v>0.6043470021456081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8F-48B4-9485-EEB3B06BAA38}"/>
            </c:ext>
          </c:extLst>
        </c:ser>
        <c:ser>
          <c:idx val="2"/>
          <c:order val="2"/>
          <c:tx>
            <c:strRef>
              <c:f>Sheet4!$A$59</c:f>
              <c:strCache>
                <c:ptCount val="1"/>
                <c:pt idx="0">
                  <c:v>Upper middle income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Sheet4!$I$59:$I$86</c:f>
              <c:numCache>
                <c:formatCode>General</c:formatCode>
                <c:ptCount val="28"/>
                <c:pt idx="0">
                  <c:v>1.3459272263968463</c:v>
                </c:pt>
                <c:pt idx="1">
                  <c:v>0.2761855369745907</c:v>
                </c:pt>
                <c:pt idx="2">
                  <c:v>0.52927101073181082</c:v>
                </c:pt>
                <c:pt idx="3">
                  <c:v>1.3391976850175831</c:v>
                </c:pt>
                <c:pt idx="4">
                  <c:v>0.664248467242468</c:v>
                </c:pt>
                <c:pt idx="5">
                  <c:v>0.82040277752748403</c:v>
                </c:pt>
                <c:pt idx="6">
                  <c:v>1.1096305595236564</c:v>
                </c:pt>
                <c:pt idx="7">
                  <c:v>0.50717333132644571</c:v>
                </c:pt>
                <c:pt idx="8">
                  <c:v>1.0132362442142089</c:v>
                </c:pt>
                <c:pt idx="9">
                  <c:v>0.67636839135878057</c:v>
                </c:pt>
                <c:pt idx="10">
                  <c:v>0.86040808643821354</c:v>
                </c:pt>
                <c:pt idx="11">
                  <c:v>0.45620792629063267</c:v>
                </c:pt>
                <c:pt idx="12">
                  <c:v>0.67185112473004538</c:v>
                </c:pt>
                <c:pt idx="13">
                  <c:v>1.3052871606333025</c:v>
                </c:pt>
                <c:pt idx="14">
                  <c:v>0.64031057940894409</c:v>
                </c:pt>
                <c:pt idx="15">
                  <c:v>0.54956037307445182</c:v>
                </c:pt>
                <c:pt idx="16">
                  <c:v>0.81863848580979037</c:v>
                </c:pt>
                <c:pt idx="17">
                  <c:v>0.58112450671672455</c:v>
                </c:pt>
                <c:pt idx="18">
                  <c:v>0.57081935046641408</c:v>
                </c:pt>
                <c:pt idx="19">
                  <c:v>0.37301380509754423</c:v>
                </c:pt>
                <c:pt idx="20">
                  <c:v>1.0238921964259697</c:v>
                </c:pt>
                <c:pt idx="21">
                  <c:v>1.3153599725636185</c:v>
                </c:pt>
                <c:pt idx="22">
                  <c:v>0.92142626642276904</c:v>
                </c:pt>
                <c:pt idx="23">
                  <c:v>0.53463997685041553</c:v>
                </c:pt>
                <c:pt idx="24">
                  <c:v>1.2570954754418611</c:v>
                </c:pt>
                <c:pt idx="25">
                  <c:v>0.15366089971025731</c:v>
                </c:pt>
                <c:pt idx="26">
                  <c:v>0.56492923243385884</c:v>
                </c:pt>
                <c:pt idx="27">
                  <c:v>0.86966068166817223</c:v>
                </c:pt>
              </c:numCache>
            </c:numRef>
          </c:xVal>
          <c:yVal>
            <c:numRef>
              <c:f>Sheet4!$J$59:$J$86</c:f>
              <c:numCache>
                <c:formatCode>General</c:formatCode>
                <c:ptCount val="28"/>
                <c:pt idx="0">
                  <c:v>1.4584031893062841</c:v>
                </c:pt>
                <c:pt idx="1">
                  <c:v>1.9727199400749518E-2</c:v>
                </c:pt>
                <c:pt idx="2">
                  <c:v>1.3334566284442291</c:v>
                </c:pt>
                <c:pt idx="3">
                  <c:v>2.3865996335329185</c:v>
                </c:pt>
                <c:pt idx="4">
                  <c:v>0.60260963512237642</c:v>
                </c:pt>
                <c:pt idx="5">
                  <c:v>0.42080216782632918</c:v>
                </c:pt>
                <c:pt idx="6">
                  <c:v>1.2277698708569815</c:v>
                </c:pt>
                <c:pt idx="7">
                  <c:v>0.37179848120730385</c:v>
                </c:pt>
                <c:pt idx="8">
                  <c:v>1.1733800363676119</c:v>
                </c:pt>
                <c:pt idx="9">
                  <c:v>1.1071019363606895</c:v>
                </c:pt>
                <c:pt idx="10">
                  <c:v>1.6692811674983061</c:v>
                </c:pt>
                <c:pt idx="11">
                  <c:v>0.17883498794955988</c:v>
                </c:pt>
                <c:pt idx="12">
                  <c:v>0.15186593239274759</c:v>
                </c:pt>
                <c:pt idx="13">
                  <c:v>0.9261280881607199</c:v>
                </c:pt>
                <c:pt idx="14">
                  <c:v>0.29315490122715704</c:v>
                </c:pt>
                <c:pt idx="15">
                  <c:v>0.4625064195309434</c:v>
                </c:pt>
                <c:pt idx="16">
                  <c:v>0.41767881964700204</c:v>
                </c:pt>
                <c:pt idx="17">
                  <c:v>0.63759323909946453</c:v>
                </c:pt>
                <c:pt idx="18">
                  <c:v>0.31493927527731502</c:v>
                </c:pt>
                <c:pt idx="19">
                  <c:v>1.571676650817623</c:v>
                </c:pt>
                <c:pt idx="20">
                  <c:v>0.57413837499797649</c:v>
                </c:pt>
                <c:pt idx="21">
                  <c:v>0.85516420161929707</c:v>
                </c:pt>
                <c:pt idx="22">
                  <c:v>0.53464565435065325</c:v>
                </c:pt>
                <c:pt idx="23">
                  <c:v>0.73235432969617431</c:v>
                </c:pt>
                <c:pt idx="24">
                  <c:v>1.111902199243846</c:v>
                </c:pt>
                <c:pt idx="25">
                  <c:v>0.19087576744284629</c:v>
                </c:pt>
                <c:pt idx="26">
                  <c:v>0.89597195467948287</c:v>
                </c:pt>
                <c:pt idx="27">
                  <c:v>0.46134398107397412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8F-48B4-9485-EEB3B06BA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266800"/>
        <c:axId val="363269680"/>
      </c:scatterChart>
      <c:valAx>
        <c:axId val="36326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269680"/>
        <c:crosses val="autoZero"/>
        <c:crossBetween val="midCat"/>
      </c:valAx>
      <c:valAx>
        <c:axId val="36326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26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masis MT Pro Black" panose="02040A04050005020304" pitchFamily="18" charset="0"/>
                <a:ea typeface="+mn-ea"/>
                <a:cs typeface="+mn-cs"/>
              </a:defRPr>
            </a:pPr>
            <a:r>
              <a:rPr lang="en-US" sz="1600" b="0" i="0" u="none" strike="noStrike" baseline="0">
                <a:latin typeface="Amasis MT Pro Black" panose="02040A04050005020304" pitchFamily="18" charset="0"/>
              </a:rPr>
              <a:t>In high-income countries real estate prices outpaced income growth by 3-4 times between 2015 and 2025.</a:t>
            </a:r>
            <a:endParaRPr lang="en-US" sz="1600">
              <a:latin typeface="Amasis MT Pro Black" panose="02040A04050005020304" pitchFamily="18" charset="0"/>
            </a:endParaRPr>
          </a:p>
        </c:rich>
      </c:tx>
      <c:layout>
        <c:manualLayout>
          <c:xMode val="edge"/>
          <c:yMode val="edge"/>
          <c:x val="0.1017153836546711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masis MT Pro Black" panose="02040A0405000502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7499494403914547E-2"/>
          <c:y val="0.17560105496134898"/>
          <c:w val="0.94038091676341373"/>
          <c:h val="0.689293803730101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Sheet6!$C$1</c:f>
              <c:strCache>
                <c:ptCount val="1"/>
                <c:pt idx="0">
                  <c:v>REP growth per income growth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6350">
              <a:solidFill>
                <a:schemeClr val="tx1"/>
              </a:solidFill>
            </a:ln>
            <a:effectLst/>
          </c:spPr>
          <c:invertIfNegative val="0"/>
          <c:dPt>
            <c:idx val="35"/>
            <c:invertIfNegative val="0"/>
            <c:bubble3D val="0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CD-4B51-9200-C33A63A1E857}"/>
              </c:ext>
            </c:extLst>
          </c:dPt>
          <c:dLbls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D670-4C10-AE75-D8A292AE6288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D670-4C10-AE75-D8A292AE6288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D670-4C10-AE75-D8A292AE6288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D670-4C10-AE75-D8A292AE6288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D670-4C10-AE75-D8A292AE6288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D670-4C10-AE75-D8A292AE6288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D670-4C10-AE75-D8A292AE6288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D670-4C10-AE75-D8A292AE6288}"/>
                </c:ext>
              </c:extLst>
            </c:dLbl>
            <c:dLbl>
              <c:idx val="35"/>
              <c:layout>
                <c:manualLayout>
                  <c:x val="8.5424438384765017E-2"/>
                  <c:y val="4.8840039448907451E-3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0070C0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CD-4B51-9200-C33A63A1E857}"/>
                </c:ext>
              </c:extLst>
            </c:dLbl>
            <c:dLbl>
              <c:idx val="4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D6CD-4B51-9200-C33A63A1E857}"/>
                </c:ext>
              </c:extLst>
            </c:dLbl>
            <c:dLbl>
              <c:idx val="5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D6CD-4B51-9200-C33A63A1E857}"/>
                </c:ext>
              </c:extLst>
            </c:dLbl>
            <c:dLbl>
              <c:idx val="5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D6CD-4B51-9200-C33A63A1E857}"/>
                </c:ext>
              </c:extLst>
            </c:dLbl>
            <c:dLbl>
              <c:idx val="5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D6CD-4B51-9200-C33A63A1E857}"/>
                </c:ext>
              </c:extLst>
            </c:dLbl>
            <c:dLbl>
              <c:idx val="5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D6CD-4B51-9200-C33A63A1E857}"/>
                </c:ext>
              </c:extLst>
            </c:dLbl>
            <c:dLbl>
              <c:idx val="5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D6CD-4B51-9200-C33A63A1E857}"/>
                </c:ext>
              </c:extLst>
            </c:dLbl>
            <c:dLbl>
              <c:idx val="6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D6CD-4B51-9200-C33A63A1E8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Sheet6!$B$2:$B$62</c:f>
              <c:strCache>
                <c:ptCount val="61"/>
                <c:pt idx="0">
                  <c:v>Qatar</c:v>
                </c:pt>
                <c:pt idx="1">
                  <c:v>Jordan</c:v>
                </c:pt>
                <c:pt idx="2">
                  <c:v>El Salvador</c:v>
                </c:pt>
                <c:pt idx="3">
                  <c:v>Latvia</c:v>
                </c:pt>
                <c:pt idx="4">
                  <c:v>Sweden</c:v>
                </c:pt>
                <c:pt idx="5">
                  <c:v>Kazakhstan</c:v>
                </c:pt>
                <c:pt idx="6">
                  <c:v>Belarus</c:v>
                </c:pt>
                <c:pt idx="7">
                  <c:v>Italy</c:v>
                </c:pt>
                <c:pt idx="8">
                  <c:v>Ukraine</c:v>
                </c:pt>
                <c:pt idx="9">
                  <c:v>Moldova</c:v>
                </c:pt>
                <c:pt idx="10">
                  <c:v>Spain</c:v>
                </c:pt>
                <c:pt idx="11">
                  <c:v>Georgia</c:v>
                </c:pt>
                <c:pt idx="12">
                  <c:v>Brazil</c:v>
                </c:pt>
                <c:pt idx="13">
                  <c:v>Oman</c:v>
                </c:pt>
                <c:pt idx="14">
                  <c:v>Romania</c:v>
                </c:pt>
                <c:pt idx="15">
                  <c:v>Uzbekistan</c:v>
                </c:pt>
                <c:pt idx="16">
                  <c:v>Serbia</c:v>
                </c:pt>
                <c:pt idx="17">
                  <c:v>Azerbaijan</c:v>
                </c:pt>
                <c:pt idx="18">
                  <c:v>Lithuania</c:v>
                </c:pt>
                <c:pt idx="19">
                  <c:v>Estonia</c:v>
                </c:pt>
                <c:pt idx="20">
                  <c:v>Bulgaria</c:v>
                </c:pt>
                <c:pt idx="21">
                  <c:v>Saudi Arabia</c:v>
                </c:pt>
                <c:pt idx="22">
                  <c:v>Croatia</c:v>
                </c:pt>
                <c:pt idx="23">
                  <c:v>United Kingdom</c:v>
                </c:pt>
                <c:pt idx="24">
                  <c:v>Poland</c:v>
                </c:pt>
                <c:pt idx="25">
                  <c:v>Albania</c:v>
                </c:pt>
                <c:pt idx="26">
                  <c:v>Luxembourg</c:v>
                </c:pt>
                <c:pt idx="27">
                  <c:v>Belgium</c:v>
                </c:pt>
                <c:pt idx="28">
                  <c:v>India</c:v>
                </c:pt>
                <c:pt idx="29">
                  <c:v>China</c:v>
                </c:pt>
                <c:pt idx="30">
                  <c:v>France</c:v>
                </c:pt>
                <c:pt idx="31">
                  <c:v>Singapore</c:v>
                </c:pt>
                <c:pt idx="32">
                  <c:v>Cyprus</c:v>
                </c:pt>
                <c:pt idx="33">
                  <c:v>Ireland</c:v>
                </c:pt>
                <c:pt idx="34">
                  <c:v>Norway</c:v>
                </c:pt>
                <c:pt idx="35">
                  <c:v>World average</c:v>
                </c:pt>
                <c:pt idx="36">
                  <c:v>Australia</c:v>
                </c:pt>
                <c:pt idx="37">
                  <c:v>Finland</c:v>
                </c:pt>
                <c:pt idx="38">
                  <c:v>Uruguay</c:v>
                </c:pt>
                <c:pt idx="39">
                  <c:v>Iceland</c:v>
                </c:pt>
                <c:pt idx="40">
                  <c:v>Philippines</c:v>
                </c:pt>
                <c:pt idx="41">
                  <c:v>Slovenia</c:v>
                </c:pt>
                <c:pt idx="42">
                  <c:v>Thailand</c:v>
                </c:pt>
                <c:pt idx="43">
                  <c:v>Netherlands</c:v>
                </c:pt>
                <c:pt idx="44">
                  <c:v>Austria</c:v>
                </c:pt>
                <c:pt idx="45">
                  <c:v>Denmark</c:v>
                </c:pt>
                <c:pt idx="46">
                  <c:v>Israel</c:v>
                </c:pt>
                <c:pt idx="47">
                  <c:v>Armenia</c:v>
                </c:pt>
                <c:pt idx="48">
                  <c:v>New Zealand</c:v>
                </c:pt>
                <c:pt idx="49">
                  <c:v>United States</c:v>
                </c:pt>
                <c:pt idx="50">
                  <c:v>Greece</c:v>
                </c:pt>
                <c:pt idx="51">
                  <c:v>Germany</c:v>
                </c:pt>
                <c:pt idx="52">
                  <c:v>Hungary</c:v>
                </c:pt>
                <c:pt idx="53">
                  <c:v>Kuwait</c:v>
                </c:pt>
                <c:pt idx="54">
                  <c:v>Argentina</c:v>
                </c:pt>
                <c:pt idx="55">
                  <c:v>Japan</c:v>
                </c:pt>
                <c:pt idx="56">
                  <c:v>Switzerland</c:v>
                </c:pt>
                <c:pt idx="57">
                  <c:v>Portugal</c:v>
                </c:pt>
                <c:pt idx="58">
                  <c:v>United Arab Emirates</c:v>
                </c:pt>
                <c:pt idx="59">
                  <c:v>Canada</c:v>
                </c:pt>
                <c:pt idx="60">
                  <c:v>Mexico</c:v>
                </c:pt>
              </c:strCache>
            </c:strRef>
          </c:cat>
          <c:val>
            <c:numRef>
              <c:f>Sheet6!$C$2:$C$62</c:f>
              <c:numCache>
                <c:formatCode>General</c:formatCode>
                <c:ptCount val="61"/>
                <c:pt idx="0">
                  <c:v>-0.13772537490289999</c:v>
                </c:pt>
                <c:pt idx="1">
                  <c:v>-8.5681991256276832E-2</c:v>
                </c:pt>
                <c:pt idx="2">
                  <c:v>0.22604104808750364</c:v>
                </c:pt>
                <c:pt idx="3">
                  <c:v>0.3858681280537043</c:v>
                </c:pt>
                <c:pt idx="4">
                  <c:v>0.49231031846325118</c:v>
                </c:pt>
                <c:pt idx="5">
                  <c:v>0.51021156088677855</c:v>
                </c:pt>
                <c:pt idx="6">
                  <c:v>0.51292143243899735</c:v>
                </c:pt>
                <c:pt idx="7">
                  <c:v>0.52655884994621427</c:v>
                </c:pt>
                <c:pt idx="8">
                  <c:v>0.53048733925630609</c:v>
                </c:pt>
                <c:pt idx="9">
                  <c:v>0.56074103992791613</c:v>
                </c:pt>
                <c:pt idx="10">
                  <c:v>0.7078789823903302</c:v>
                </c:pt>
                <c:pt idx="11">
                  <c:v>0.7095205684175877</c:v>
                </c:pt>
                <c:pt idx="12">
                  <c:v>0.73307971504517677</c:v>
                </c:pt>
                <c:pt idx="13">
                  <c:v>0.77043640331987795</c:v>
                </c:pt>
                <c:pt idx="14">
                  <c:v>0.78540479377434536</c:v>
                </c:pt>
                <c:pt idx="15">
                  <c:v>0.8090801946939965</c:v>
                </c:pt>
                <c:pt idx="16">
                  <c:v>0.88450099532258641</c:v>
                </c:pt>
                <c:pt idx="17">
                  <c:v>0.90720515716660011</c:v>
                </c:pt>
                <c:pt idx="18">
                  <c:v>0.92438010109979474</c:v>
                </c:pt>
                <c:pt idx="19">
                  <c:v>0.95746810539927507</c:v>
                </c:pt>
                <c:pt idx="20">
                  <c:v>0.98171880978848991</c:v>
                </c:pt>
                <c:pt idx="21">
                  <c:v>0.99999999999999933</c:v>
                </c:pt>
                <c:pt idx="22">
                  <c:v>1.0433925718127073</c:v>
                </c:pt>
                <c:pt idx="23">
                  <c:v>1.0739748386574808</c:v>
                </c:pt>
                <c:pt idx="24">
                  <c:v>1.0796902938296189</c:v>
                </c:pt>
                <c:pt idx="25">
                  <c:v>1.0835676407338493</c:v>
                </c:pt>
                <c:pt idx="26">
                  <c:v>1.1172263785889052</c:v>
                </c:pt>
                <c:pt idx="27">
                  <c:v>1.1236391622205217</c:v>
                </c:pt>
                <c:pt idx="28">
                  <c:v>1.15413548716754</c:v>
                </c:pt>
                <c:pt idx="29">
                  <c:v>1.1580517801922874</c:v>
                </c:pt>
                <c:pt idx="30">
                  <c:v>1.1787154220099207</c:v>
                </c:pt>
                <c:pt idx="31">
                  <c:v>1.1994991308461673</c:v>
                </c:pt>
                <c:pt idx="32">
                  <c:v>1.2041571427091164</c:v>
                </c:pt>
                <c:pt idx="33">
                  <c:v>1.2122096343312847</c:v>
                </c:pt>
                <c:pt idx="34">
                  <c:v>1.2246058029307421</c:v>
                </c:pt>
                <c:pt idx="35">
                  <c:v>1.3445016447063804</c:v>
                </c:pt>
                <c:pt idx="36">
                  <c:v>1.3960176305923604</c:v>
                </c:pt>
                <c:pt idx="37">
                  <c:v>1.4039600851387477</c:v>
                </c:pt>
                <c:pt idx="38">
                  <c:v>1.4107491551390263</c:v>
                </c:pt>
                <c:pt idx="39">
                  <c:v>1.4721176120963089</c:v>
                </c:pt>
                <c:pt idx="40">
                  <c:v>1.4814060895957997</c:v>
                </c:pt>
                <c:pt idx="41">
                  <c:v>1.5008810071160805</c:v>
                </c:pt>
                <c:pt idx="42">
                  <c:v>1.5859897191359842</c:v>
                </c:pt>
                <c:pt idx="43">
                  <c:v>1.5920009240821906</c:v>
                </c:pt>
                <c:pt idx="44">
                  <c:v>1.6004528220825238</c:v>
                </c:pt>
                <c:pt idx="45">
                  <c:v>1.74477583671431</c:v>
                </c:pt>
                <c:pt idx="46">
                  <c:v>1.7511081785307552</c:v>
                </c:pt>
                <c:pt idx="47">
                  <c:v>1.7821115285915263</c:v>
                </c:pt>
                <c:pt idx="48">
                  <c:v>1.7964739288437765</c:v>
                </c:pt>
                <c:pt idx="49">
                  <c:v>1.7977321129437147</c:v>
                </c:pt>
                <c:pt idx="50">
                  <c:v>1.851062642134278</c:v>
                </c:pt>
                <c:pt idx="51">
                  <c:v>2.0250014974112758</c:v>
                </c:pt>
                <c:pt idx="52">
                  <c:v>2.1492528006936547</c:v>
                </c:pt>
                <c:pt idx="53">
                  <c:v>2.4376196451157579</c:v>
                </c:pt>
                <c:pt idx="54">
                  <c:v>2.5194212443271535</c:v>
                </c:pt>
                <c:pt idx="55">
                  <c:v>2.5232261771087945</c:v>
                </c:pt>
                <c:pt idx="56">
                  <c:v>2.5659827769992183</c:v>
                </c:pt>
                <c:pt idx="57">
                  <c:v>2.8054443149757855</c:v>
                </c:pt>
                <c:pt idx="58">
                  <c:v>2.9499707221710607</c:v>
                </c:pt>
                <c:pt idx="59">
                  <c:v>3.7686143876836096</c:v>
                </c:pt>
                <c:pt idx="60">
                  <c:v>4.2134543798094146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D-4B51-9200-C33A63A1E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1886336"/>
        <c:axId val="871887296"/>
      </c:barChart>
      <c:catAx>
        <c:axId val="8718863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71887296"/>
        <c:crosses val="autoZero"/>
        <c:auto val="1"/>
        <c:lblAlgn val="ctr"/>
        <c:lblOffset val="100"/>
        <c:noMultiLvlLbl val="0"/>
      </c:catAx>
      <c:valAx>
        <c:axId val="871887296"/>
        <c:scaling>
          <c:orientation val="minMax"/>
          <c:min val="-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masis MT Pro Medium" panose="02040604050005020304" pitchFamily="18" charset="0"/>
                    <a:ea typeface="+mn-ea"/>
                    <a:cs typeface="+mn-cs"/>
                  </a:defRPr>
                </a:pPr>
                <a:r>
                  <a:rPr lang="en-US" sz="1200">
                    <a:latin typeface="Amasis MT Pro Medium" panose="02040604050005020304" pitchFamily="18" charset="0"/>
                  </a:rPr>
                  <a:t>Real estate price growth per income growth, 2015-2025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masis MT Pro Medium" panose="020406040500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88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3</xdr:row>
      <xdr:rowOff>0</xdr:rowOff>
    </xdr:from>
    <xdr:to>
      <xdr:col>30</xdr:col>
      <xdr:colOff>38100</xdr:colOff>
      <xdr:row>17</xdr:row>
      <xdr:rowOff>138111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33EEA3F-7C5B-450B-AAC0-BB6DC69036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61912</xdr:colOff>
      <xdr:row>8</xdr:row>
      <xdr:rowOff>95250</xdr:rowOff>
    </xdr:from>
    <xdr:to>
      <xdr:col>8</xdr:col>
      <xdr:colOff>80962</xdr:colOff>
      <xdr:row>23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EAB6739-B3D9-432C-A590-D4D7413130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288131</xdr:colOff>
      <xdr:row>3</xdr:row>
      <xdr:rowOff>180974</xdr:rowOff>
    </xdr:from>
    <xdr:to>
      <xdr:col>11</xdr:col>
      <xdr:colOff>12701</xdr:colOff>
      <xdr:row>30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A23B50-4B0F-F01B-913A-B2487A545C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0.01421</cdr:x>
      <cdr:y>0.19457</cdr:y>
    </cdr:from>
    <cdr:to>
      <cdr:x>0.32374</cdr:x>
      <cdr:y>0.49625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0C22534-8620-A65C-A783-EF25152F58C4}"/>
            </a:ext>
          </a:extLst>
        </cdr:cNvPr>
        <cdr:cNvSpPr txBox="1"/>
      </cdr:nvSpPr>
      <cdr:spPr>
        <a:xfrm xmlns:a="http://schemas.openxmlformats.org/drawingml/2006/main">
          <a:off x="69857" y="944126"/>
          <a:ext cx="1521442" cy="14639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 kern="1200">
              <a:solidFill>
                <a:srgbClr val="C00000"/>
              </a:solidFill>
              <a:latin typeface="Amasis MT Pro Medium" panose="02040604050005020304" pitchFamily="18" charset="0"/>
            </a:rPr>
            <a:t>In</a:t>
          </a:r>
          <a:r>
            <a:rPr lang="en-US" sz="1200" b="1" kern="1200" baseline="0">
              <a:solidFill>
                <a:srgbClr val="C00000"/>
              </a:solidFill>
              <a:latin typeface="Amasis MT Pro Medium" panose="02040604050005020304" pitchFamily="18" charset="0"/>
            </a:rPr>
            <a:t> these countries </a:t>
          </a:r>
          <a:r>
            <a:rPr lang="en-US" sz="1050" kern="1200" baseline="0">
              <a:solidFill>
                <a:schemeClr val="tx1">
                  <a:lumMod val="75000"/>
                  <a:lumOff val="25000"/>
                </a:schemeClr>
              </a:solidFill>
              <a:latin typeface="Amasis MT Pro Medium" panose="02040604050005020304" pitchFamily="18" charset="0"/>
            </a:rPr>
            <a:t>the real estate price growth has been 3-4 times more than income growth, i.e. as </a:t>
          </a:r>
          <a:r>
            <a:rPr lang="en-US" sz="1050" b="1" kern="1200" baseline="0">
              <a:solidFill>
                <a:schemeClr val="tx1"/>
              </a:solidFill>
              <a:latin typeface="Amasis MT Pro Medium" panose="02040604050005020304" pitchFamily="18" charset="0"/>
            </a:rPr>
            <a:t>you earn more, you can afford less housing</a:t>
          </a:r>
          <a:endParaRPr lang="en-US" sz="1100" b="1" kern="1200">
            <a:solidFill>
              <a:schemeClr val="tx1"/>
            </a:solidFill>
            <a:latin typeface="Amasis MT Pro Medium" panose="02040604050005020304" pitchFamily="18" charset="0"/>
          </a:endParaRPr>
        </a:p>
      </cdr:txBody>
    </cdr:sp>
  </cdr:relSizeAnchor>
  <cdr:relSizeAnchor xmlns:cdr="http://schemas.openxmlformats.org/drawingml/2006/chartDrawing">
    <cdr:from>
      <cdr:x>0.3452</cdr:x>
      <cdr:y>0.17911</cdr:y>
    </cdr:from>
    <cdr:to>
      <cdr:x>0.37056</cdr:x>
      <cdr:y>0.31414</cdr:y>
    </cdr:to>
    <cdr:sp macro="" textlink="">
      <cdr:nvSpPr>
        <cdr:cNvPr id="3" name="Left Brace 2">
          <a:extLst xmlns:a="http://schemas.openxmlformats.org/drawingml/2006/main">
            <a:ext uri="{FF2B5EF4-FFF2-40B4-BE49-F238E27FC236}">
              <a16:creationId xmlns:a16="http://schemas.microsoft.com/office/drawing/2014/main" id="{B5E6D1C4-6A25-BF68-BCA0-DA046607168E}"/>
            </a:ext>
          </a:extLst>
        </cdr:cNvPr>
        <cdr:cNvSpPr/>
      </cdr:nvSpPr>
      <cdr:spPr>
        <a:xfrm xmlns:a="http://schemas.openxmlformats.org/drawingml/2006/main">
          <a:off x="1687754" y="858133"/>
          <a:ext cx="123992" cy="646957"/>
        </a:xfrm>
        <a:prstGeom xmlns:a="http://schemas.openxmlformats.org/drawingml/2006/main" prst="leftBrace">
          <a:avLst>
            <a:gd name="adj1" fmla="val 47004"/>
            <a:gd name="adj2" fmla="val 50000"/>
          </a:avLst>
        </a:prstGeom>
        <a:noFill xmlns:a="http://schemas.openxmlformats.org/drawingml/2006/main"/>
        <a:ln xmlns:a="http://schemas.openxmlformats.org/drawingml/2006/main">
          <a:solidFill>
            <a:srgbClr val="C00000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0.29383</cdr:x>
      <cdr:y>0.2308</cdr:y>
    </cdr:from>
    <cdr:to>
      <cdr:x>0.33286</cdr:x>
      <cdr:y>0.24056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0F957E09-A685-120D-FC7B-3F9F72029058}"/>
            </a:ext>
          </a:extLst>
        </cdr:cNvPr>
        <cdr:cNvCxnSpPr/>
      </cdr:nvCxnSpPr>
      <cdr:spPr>
        <a:xfrm xmlns:a="http://schemas.openxmlformats.org/drawingml/2006/main" flipH="1" flipV="1">
          <a:off x="1436588" y="1105759"/>
          <a:ext cx="190864" cy="4676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C0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</cdr:x>
      <cdr:y>0.62505</cdr:y>
    </cdr:from>
    <cdr:to>
      <cdr:x>0.33026</cdr:x>
      <cdr:y>0.80173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9CB50C5A-8670-40CB-1B41-F85BA9BF2BB7}"/>
            </a:ext>
          </a:extLst>
        </cdr:cNvPr>
        <cdr:cNvSpPr txBox="1"/>
      </cdr:nvSpPr>
      <cdr:spPr>
        <a:xfrm xmlns:a="http://schemas.openxmlformats.org/drawingml/2006/main">
          <a:off x="0" y="3049606"/>
          <a:ext cx="1623638" cy="8620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 kern="1200">
              <a:solidFill>
                <a:schemeClr val="accent3">
                  <a:lumMod val="75000"/>
                </a:schemeClr>
              </a:solidFill>
              <a:latin typeface="Amasis MT Pro Medium" panose="02040604050005020304" pitchFamily="18" charset="0"/>
            </a:rPr>
            <a:t>...and in these countries </a:t>
          </a:r>
          <a:r>
            <a:rPr lang="en-US" sz="1050" kern="1200" baseline="0">
              <a:solidFill>
                <a:schemeClr val="tx1">
                  <a:lumMod val="75000"/>
                  <a:lumOff val="25000"/>
                </a:schemeClr>
              </a:solidFill>
              <a:latin typeface="Amasis MT Pro Medium" panose="02040604050005020304" pitchFamily="18" charset="0"/>
            </a:rPr>
            <a:t>the housing prices were in harmony with income growth</a:t>
          </a:r>
          <a:endParaRPr lang="en-US" sz="1100" b="1" kern="1200">
            <a:solidFill>
              <a:schemeClr val="tx1"/>
            </a:solidFill>
            <a:latin typeface="Amasis MT Pro Medium" panose="02040604050005020304" pitchFamily="18" charset="0"/>
          </a:endParaRPr>
        </a:p>
      </cdr:txBody>
    </cdr:sp>
  </cdr:relSizeAnchor>
  <cdr:relSizeAnchor xmlns:cdr="http://schemas.openxmlformats.org/drawingml/2006/chartDrawing">
    <cdr:from>
      <cdr:x>0.34353</cdr:x>
      <cdr:y>0.55747</cdr:y>
    </cdr:from>
    <cdr:to>
      <cdr:x>0.36889</cdr:x>
      <cdr:y>0.6925</cdr:y>
    </cdr:to>
    <cdr:sp macro="" textlink="">
      <cdr:nvSpPr>
        <cdr:cNvPr id="7" name="Left Brace 6">
          <a:extLst xmlns:a="http://schemas.openxmlformats.org/drawingml/2006/main">
            <a:ext uri="{FF2B5EF4-FFF2-40B4-BE49-F238E27FC236}">
              <a16:creationId xmlns:a16="http://schemas.microsoft.com/office/drawing/2014/main" id="{6946DAC5-891C-CDB4-E7EE-BB7C2AC1C91F}"/>
            </a:ext>
          </a:extLst>
        </cdr:cNvPr>
        <cdr:cNvSpPr/>
      </cdr:nvSpPr>
      <cdr:spPr>
        <a:xfrm xmlns:a="http://schemas.openxmlformats.org/drawingml/2006/main">
          <a:off x="1688891" y="2719893"/>
          <a:ext cx="124676" cy="658830"/>
        </a:xfrm>
        <a:prstGeom xmlns:a="http://schemas.openxmlformats.org/drawingml/2006/main" prst="leftBrace">
          <a:avLst>
            <a:gd name="adj1" fmla="val 47004"/>
            <a:gd name="adj2" fmla="val 50000"/>
          </a:avLst>
        </a:prstGeom>
        <a:noFill xmlns:a="http://schemas.openxmlformats.org/drawingml/2006/main"/>
        <a:ln xmlns:a="http://schemas.openxmlformats.org/drawingml/2006/main">
          <a:solidFill>
            <a:schemeClr val="accent3">
              <a:lumMod val="75000"/>
            </a:schemeClr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0.24372</cdr:x>
      <cdr:y>0.62474</cdr:y>
    </cdr:from>
    <cdr:to>
      <cdr:x>0.33208</cdr:x>
      <cdr:y>0.65156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E2ACE4BA-8B8E-D217-90E5-A1B72D325C7C}"/>
            </a:ext>
          </a:extLst>
        </cdr:cNvPr>
        <cdr:cNvCxnSpPr/>
      </cdr:nvCxnSpPr>
      <cdr:spPr>
        <a:xfrm xmlns:a="http://schemas.openxmlformats.org/drawingml/2006/main" flipH="1">
          <a:off x="1198188" y="3048105"/>
          <a:ext cx="434382" cy="130838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3">
              <a:lumMod val="75000"/>
            </a:schemeClr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0.0042</cdr:x>
      <cdr:y>0.96156</cdr:y>
    </cdr:from>
    <cdr:to>
      <cdr:x>0.95377</cdr:x>
      <cdr:y>1</cdr:y>
    </cdr:to>
    <cdr:sp macro="" textlink="">
      <cdr:nvSpPr>
        <cdr:cNvPr id="11" name="TextBox 10">
          <a:extLst xmlns:a="http://schemas.openxmlformats.org/drawingml/2006/main">
            <a:ext uri="{FF2B5EF4-FFF2-40B4-BE49-F238E27FC236}">
              <a16:creationId xmlns:a16="http://schemas.microsoft.com/office/drawing/2014/main" id="{6BA0406F-A27D-6510-E99A-B5C8B9FE22AE}"/>
            </a:ext>
          </a:extLst>
        </cdr:cNvPr>
        <cdr:cNvSpPr txBox="1"/>
      </cdr:nvSpPr>
      <cdr:spPr>
        <a:xfrm xmlns:a="http://schemas.openxmlformats.org/drawingml/2006/main">
          <a:off x="20647" y="4691428"/>
          <a:ext cx="4668296" cy="1875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i="1" kern="1200"/>
            <a:t>Data source: Numbeo, Worldbank. Chart prepared by Arthur Grigoryan, CFA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E0727-4E6C-4C5B-A44B-01FCFF96EFDE}">
  <dimension ref="A1:I105"/>
  <sheetViews>
    <sheetView topLeftCell="A82" workbookViewId="0">
      <selection activeCell="C14" sqref="C14:C105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</v>
      </c>
      <c r="B2" t="s">
        <v>9</v>
      </c>
      <c r="C2">
        <v>115.1</v>
      </c>
      <c r="D2">
        <v>2.4</v>
      </c>
      <c r="E2">
        <v>3.8</v>
      </c>
      <c r="F2">
        <v>41.1</v>
      </c>
      <c r="G2">
        <v>26.3</v>
      </c>
      <c r="H2">
        <v>1746.8</v>
      </c>
      <c r="I2">
        <v>0.1</v>
      </c>
    </row>
    <row r="3" spans="1:9" x14ac:dyDescent="0.45">
      <c r="A3">
        <v>2</v>
      </c>
      <c r="B3" t="s">
        <v>10</v>
      </c>
      <c r="C3">
        <v>48</v>
      </c>
      <c r="D3">
        <v>24</v>
      </c>
      <c r="E3">
        <v>28.3</v>
      </c>
      <c r="F3">
        <v>4.2</v>
      </c>
      <c r="G3">
        <v>3.5</v>
      </c>
      <c r="H3">
        <v>530.29999999999995</v>
      </c>
      <c r="I3">
        <v>0.2</v>
      </c>
    </row>
    <row r="4" spans="1:9" x14ac:dyDescent="0.45">
      <c r="A4">
        <v>3</v>
      </c>
      <c r="B4" t="s">
        <v>11</v>
      </c>
      <c r="C4">
        <v>47.1</v>
      </c>
      <c r="D4">
        <v>6</v>
      </c>
      <c r="E4">
        <v>5.4</v>
      </c>
      <c r="F4">
        <v>16.7</v>
      </c>
      <c r="G4">
        <v>18.600000000000001</v>
      </c>
      <c r="H4">
        <v>762.3</v>
      </c>
      <c r="I4">
        <v>0.1</v>
      </c>
    </row>
    <row r="5" spans="1:9" x14ac:dyDescent="0.45">
      <c r="A5">
        <v>4</v>
      </c>
      <c r="B5" t="s">
        <v>12</v>
      </c>
      <c r="C5">
        <v>46.6</v>
      </c>
      <c r="D5">
        <v>9.1999999999999993</v>
      </c>
      <c r="E5">
        <v>11.4</v>
      </c>
      <c r="F5">
        <v>10.8</v>
      </c>
      <c r="G5">
        <v>8.8000000000000007</v>
      </c>
      <c r="H5">
        <v>907.8</v>
      </c>
      <c r="I5">
        <v>0.1</v>
      </c>
    </row>
    <row r="6" spans="1:9" x14ac:dyDescent="0.45">
      <c r="A6">
        <v>5</v>
      </c>
      <c r="B6" t="s">
        <v>13</v>
      </c>
      <c r="C6">
        <v>34.200000000000003</v>
      </c>
      <c r="D6">
        <v>3.7</v>
      </c>
      <c r="E6">
        <v>2.7</v>
      </c>
      <c r="F6">
        <v>26.7</v>
      </c>
      <c r="G6">
        <v>36.5</v>
      </c>
      <c r="H6">
        <v>603.5</v>
      </c>
      <c r="I6">
        <v>0.2</v>
      </c>
    </row>
    <row r="7" spans="1:9" x14ac:dyDescent="0.45">
      <c r="A7">
        <v>6</v>
      </c>
      <c r="B7" t="s">
        <v>14</v>
      </c>
      <c r="C7">
        <v>32.1</v>
      </c>
      <c r="D7">
        <v>1.7</v>
      </c>
      <c r="E7">
        <v>1.8</v>
      </c>
      <c r="F7">
        <v>60</v>
      </c>
      <c r="G7">
        <v>56.3</v>
      </c>
      <c r="H7">
        <v>447.4</v>
      </c>
      <c r="I7">
        <v>0.2</v>
      </c>
    </row>
    <row r="8" spans="1:9" x14ac:dyDescent="0.45">
      <c r="A8">
        <v>7</v>
      </c>
      <c r="B8" t="s">
        <v>15</v>
      </c>
      <c r="C8">
        <v>29.1</v>
      </c>
      <c r="D8">
        <v>1.9</v>
      </c>
      <c r="E8">
        <v>2.2000000000000002</v>
      </c>
      <c r="F8">
        <v>52.2</v>
      </c>
      <c r="G8">
        <v>44.7</v>
      </c>
      <c r="H8">
        <v>211.2</v>
      </c>
      <c r="I8">
        <v>0.5</v>
      </c>
    </row>
    <row r="9" spans="1:9" x14ac:dyDescent="0.45">
      <c r="A9">
        <v>8</v>
      </c>
      <c r="B9" t="s">
        <v>16</v>
      </c>
      <c r="C9">
        <v>28.5</v>
      </c>
      <c r="D9">
        <v>1.6</v>
      </c>
      <c r="E9">
        <v>1.9</v>
      </c>
      <c r="F9">
        <v>62.5</v>
      </c>
      <c r="G9">
        <v>51.8</v>
      </c>
      <c r="H9">
        <v>212.9</v>
      </c>
      <c r="I9">
        <v>0.5</v>
      </c>
    </row>
    <row r="10" spans="1:9" x14ac:dyDescent="0.45">
      <c r="A10">
        <v>9</v>
      </c>
      <c r="B10" t="s">
        <v>17</v>
      </c>
      <c r="C10">
        <v>25.8</v>
      </c>
      <c r="D10">
        <v>3</v>
      </c>
      <c r="E10">
        <v>3.6</v>
      </c>
      <c r="F10">
        <v>33.299999999999997</v>
      </c>
      <c r="G10">
        <v>28</v>
      </c>
      <c r="H10">
        <v>296.2</v>
      </c>
      <c r="I10">
        <v>0.3</v>
      </c>
    </row>
    <row r="11" spans="1:9" x14ac:dyDescent="0.45">
      <c r="A11">
        <v>10</v>
      </c>
      <c r="B11" t="s">
        <v>18</v>
      </c>
      <c r="C11">
        <v>25.2</v>
      </c>
      <c r="D11">
        <v>2.9</v>
      </c>
      <c r="E11">
        <v>3.2</v>
      </c>
      <c r="F11">
        <v>34</v>
      </c>
      <c r="G11">
        <v>31.5</v>
      </c>
      <c r="H11">
        <v>213.4</v>
      </c>
      <c r="I11">
        <v>0.5</v>
      </c>
    </row>
    <row r="12" spans="1:9" x14ac:dyDescent="0.45">
      <c r="A12">
        <v>11</v>
      </c>
      <c r="B12" t="s">
        <v>19</v>
      </c>
      <c r="C12">
        <v>23.2</v>
      </c>
      <c r="D12">
        <v>2.9</v>
      </c>
      <c r="E12">
        <v>3.1</v>
      </c>
      <c r="F12">
        <v>34.200000000000003</v>
      </c>
      <c r="G12">
        <v>32.4</v>
      </c>
      <c r="H12">
        <v>158.4</v>
      </c>
      <c r="I12">
        <v>0.6</v>
      </c>
    </row>
    <row r="13" spans="1:9" x14ac:dyDescent="0.45">
      <c r="A13">
        <v>12</v>
      </c>
      <c r="B13" t="s">
        <v>20</v>
      </c>
      <c r="C13">
        <v>22.2</v>
      </c>
      <c r="D13">
        <v>3</v>
      </c>
      <c r="E13">
        <v>3.5</v>
      </c>
      <c r="F13">
        <v>33.1</v>
      </c>
      <c r="G13">
        <v>28.5</v>
      </c>
      <c r="H13">
        <v>211.5</v>
      </c>
      <c r="I13">
        <v>0.5</v>
      </c>
    </row>
    <row r="14" spans="1:9" x14ac:dyDescent="0.45">
      <c r="A14">
        <v>13</v>
      </c>
      <c r="B14" t="s">
        <v>21</v>
      </c>
      <c r="C14">
        <v>22.2</v>
      </c>
      <c r="D14">
        <v>1.2</v>
      </c>
      <c r="E14">
        <v>1.1000000000000001</v>
      </c>
      <c r="F14">
        <v>82.8</v>
      </c>
      <c r="G14">
        <v>88.1</v>
      </c>
      <c r="H14">
        <v>170.6</v>
      </c>
      <c r="I14">
        <v>0.6</v>
      </c>
    </row>
    <row r="15" spans="1:9" x14ac:dyDescent="0.45">
      <c r="A15">
        <v>14</v>
      </c>
      <c r="B15" t="s">
        <v>22</v>
      </c>
      <c r="C15">
        <v>21.3</v>
      </c>
      <c r="D15">
        <v>1.4</v>
      </c>
      <c r="E15">
        <v>1.5</v>
      </c>
      <c r="F15">
        <v>74.099999999999994</v>
      </c>
      <c r="G15">
        <v>67.2</v>
      </c>
      <c r="H15">
        <v>129.69999999999999</v>
      </c>
      <c r="I15">
        <v>0.8</v>
      </c>
    </row>
    <row r="16" spans="1:9" x14ac:dyDescent="0.45">
      <c r="A16">
        <v>15</v>
      </c>
      <c r="B16" t="s">
        <v>23</v>
      </c>
      <c r="C16">
        <v>19.7</v>
      </c>
      <c r="D16">
        <v>6.3</v>
      </c>
      <c r="E16">
        <v>6.8</v>
      </c>
      <c r="F16">
        <v>15.9</v>
      </c>
      <c r="G16">
        <v>14.7</v>
      </c>
      <c r="H16">
        <v>454.8</v>
      </c>
      <c r="I16">
        <v>0.2</v>
      </c>
    </row>
    <row r="17" spans="1:9" x14ac:dyDescent="0.45">
      <c r="A17">
        <v>16</v>
      </c>
      <c r="B17" t="s">
        <v>24</v>
      </c>
      <c r="C17">
        <v>19.399999999999999</v>
      </c>
      <c r="D17">
        <v>5.4</v>
      </c>
      <c r="E17">
        <v>7.5</v>
      </c>
      <c r="F17">
        <v>18.399999999999999</v>
      </c>
      <c r="G17">
        <v>13.3</v>
      </c>
      <c r="H17">
        <v>308.3</v>
      </c>
      <c r="I17">
        <v>0.3</v>
      </c>
    </row>
    <row r="18" spans="1:9" x14ac:dyDescent="0.45">
      <c r="A18">
        <v>17</v>
      </c>
      <c r="B18" t="s">
        <v>25</v>
      </c>
      <c r="C18">
        <v>18.5</v>
      </c>
      <c r="D18">
        <v>3.3</v>
      </c>
      <c r="E18">
        <v>3.3</v>
      </c>
      <c r="F18">
        <v>30.5</v>
      </c>
      <c r="G18">
        <v>30.7</v>
      </c>
      <c r="H18">
        <v>159.19999999999999</v>
      </c>
      <c r="I18">
        <v>0.6</v>
      </c>
    </row>
    <row r="19" spans="1:9" x14ac:dyDescent="0.45">
      <c r="A19">
        <v>18</v>
      </c>
      <c r="B19" t="s">
        <v>26</v>
      </c>
      <c r="C19">
        <v>18.399999999999999</v>
      </c>
      <c r="D19">
        <v>5.2</v>
      </c>
      <c r="E19">
        <v>4.3</v>
      </c>
      <c r="F19">
        <v>19.2</v>
      </c>
      <c r="G19">
        <v>23.2</v>
      </c>
      <c r="H19">
        <v>218.4</v>
      </c>
      <c r="I19">
        <v>0.5</v>
      </c>
    </row>
    <row r="20" spans="1:9" x14ac:dyDescent="0.45">
      <c r="A20">
        <v>19</v>
      </c>
      <c r="B20" t="s">
        <v>27</v>
      </c>
      <c r="C20">
        <v>18.2</v>
      </c>
      <c r="D20">
        <v>5.6</v>
      </c>
      <c r="E20">
        <v>5.7</v>
      </c>
      <c r="F20">
        <v>17.899999999999999</v>
      </c>
      <c r="G20">
        <v>17.7</v>
      </c>
      <c r="H20">
        <v>285.2</v>
      </c>
      <c r="I20">
        <v>0.4</v>
      </c>
    </row>
    <row r="21" spans="1:9" x14ac:dyDescent="0.45">
      <c r="A21">
        <v>20</v>
      </c>
      <c r="B21" t="s">
        <v>28</v>
      </c>
      <c r="C21">
        <v>18.100000000000001</v>
      </c>
      <c r="D21">
        <v>5.2</v>
      </c>
      <c r="E21">
        <v>5.0999999999999996</v>
      </c>
      <c r="F21">
        <v>19.3</v>
      </c>
      <c r="G21">
        <v>19.5</v>
      </c>
      <c r="H21">
        <v>261.8</v>
      </c>
      <c r="I21">
        <v>0.4</v>
      </c>
    </row>
    <row r="22" spans="1:9" x14ac:dyDescent="0.45">
      <c r="A22">
        <v>21</v>
      </c>
      <c r="B22" t="s">
        <v>29</v>
      </c>
      <c r="C22">
        <v>17.7</v>
      </c>
      <c r="D22">
        <v>4.2</v>
      </c>
      <c r="E22">
        <v>4.3</v>
      </c>
      <c r="F22">
        <v>23.6</v>
      </c>
      <c r="G22">
        <v>23.4</v>
      </c>
      <c r="H22">
        <v>1350.4</v>
      </c>
      <c r="I22">
        <v>0.1</v>
      </c>
    </row>
    <row r="23" spans="1:9" x14ac:dyDescent="0.45">
      <c r="A23">
        <v>22</v>
      </c>
      <c r="B23" t="s">
        <v>30</v>
      </c>
      <c r="C23">
        <v>17.5</v>
      </c>
      <c r="D23">
        <v>6.2</v>
      </c>
      <c r="E23">
        <v>9.5</v>
      </c>
      <c r="F23">
        <v>16.100000000000001</v>
      </c>
      <c r="G23">
        <v>10.5</v>
      </c>
      <c r="H23">
        <v>195.9</v>
      </c>
      <c r="I23">
        <v>0.5</v>
      </c>
    </row>
    <row r="24" spans="1:9" x14ac:dyDescent="0.45">
      <c r="A24">
        <v>23</v>
      </c>
      <c r="B24" t="s">
        <v>31</v>
      </c>
      <c r="C24">
        <v>16.7</v>
      </c>
      <c r="D24">
        <v>2.8</v>
      </c>
      <c r="E24">
        <v>3.2</v>
      </c>
      <c r="F24">
        <v>35.200000000000003</v>
      </c>
      <c r="G24">
        <v>31.2</v>
      </c>
      <c r="H24">
        <v>147.6</v>
      </c>
      <c r="I24">
        <v>0.7</v>
      </c>
    </row>
    <row r="25" spans="1:9" x14ac:dyDescent="0.45">
      <c r="A25">
        <v>24</v>
      </c>
      <c r="B25" t="s">
        <v>32</v>
      </c>
      <c r="C25">
        <v>16.5</v>
      </c>
      <c r="D25">
        <v>6.7</v>
      </c>
      <c r="E25">
        <v>5</v>
      </c>
      <c r="F25">
        <v>15</v>
      </c>
      <c r="G25">
        <v>20.100000000000001</v>
      </c>
      <c r="H25">
        <v>234.9</v>
      </c>
      <c r="I25">
        <v>0.4</v>
      </c>
    </row>
    <row r="26" spans="1:9" x14ac:dyDescent="0.45">
      <c r="A26">
        <v>25</v>
      </c>
      <c r="B26" t="s">
        <v>33</v>
      </c>
      <c r="C26">
        <v>16</v>
      </c>
      <c r="D26">
        <v>3.8</v>
      </c>
      <c r="E26">
        <v>3.9</v>
      </c>
      <c r="F26">
        <v>26.1</v>
      </c>
      <c r="G26">
        <v>25.7</v>
      </c>
      <c r="H26">
        <v>146.5</v>
      </c>
      <c r="I26">
        <v>0.7</v>
      </c>
    </row>
    <row r="27" spans="1:9" x14ac:dyDescent="0.45">
      <c r="A27">
        <v>26</v>
      </c>
      <c r="B27" t="s">
        <v>34</v>
      </c>
      <c r="C27">
        <v>15.6</v>
      </c>
      <c r="D27">
        <v>4.4000000000000004</v>
      </c>
      <c r="E27">
        <v>3.8</v>
      </c>
      <c r="F27">
        <v>22.9</v>
      </c>
      <c r="G27">
        <v>26.1</v>
      </c>
      <c r="H27">
        <v>126.3</v>
      </c>
      <c r="I27">
        <v>0.8</v>
      </c>
    </row>
    <row r="28" spans="1:9" x14ac:dyDescent="0.45">
      <c r="A28">
        <v>27</v>
      </c>
      <c r="B28" t="s">
        <v>35</v>
      </c>
      <c r="C28">
        <v>15.6</v>
      </c>
      <c r="D28">
        <v>5</v>
      </c>
      <c r="E28">
        <v>5.2</v>
      </c>
      <c r="F28">
        <v>20</v>
      </c>
      <c r="G28">
        <v>19.100000000000001</v>
      </c>
      <c r="H28">
        <v>167.8</v>
      </c>
      <c r="I28">
        <v>0.6</v>
      </c>
    </row>
    <row r="29" spans="1:9" x14ac:dyDescent="0.45">
      <c r="A29">
        <v>28</v>
      </c>
      <c r="B29" t="s">
        <v>36</v>
      </c>
      <c r="C29">
        <v>15.3</v>
      </c>
      <c r="D29">
        <v>4.5999999999999996</v>
      </c>
      <c r="E29">
        <v>5.5</v>
      </c>
      <c r="F29">
        <v>21.9</v>
      </c>
      <c r="G29">
        <v>18.100000000000001</v>
      </c>
      <c r="H29">
        <v>127.8</v>
      </c>
      <c r="I29">
        <v>0.8</v>
      </c>
    </row>
    <row r="30" spans="1:9" x14ac:dyDescent="0.45">
      <c r="A30">
        <v>29</v>
      </c>
      <c r="B30" t="s">
        <v>37</v>
      </c>
      <c r="C30">
        <v>15.2</v>
      </c>
      <c r="D30">
        <v>4.8</v>
      </c>
      <c r="E30">
        <v>4.7</v>
      </c>
      <c r="F30">
        <v>21</v>
      </c>
      <c r="G30">
        <v>21.4</v>
      </c>
      <c r="H30">
        <v>188.7</v>
      </c>
      <c r="I30">
        <v>0.5</v>
      </c>
    </row>
    <row r="31" spans="1:9" x14ac:dyDescent="0.45">
      <c r="A31">
        <v>30</v>
      </c>
      <c r="B31" t="s">
        <v>38</v>
      </c>
      <c r="C31">
        <v>15.1</v>
      </c>
      <c r="D31">
        <v>9</v>
      </c>
      <c r="E31">
        <v>7.3</v>
      </c>
      <c r="F31">
        <v>11.1</v>
      </c>
      <c r="G31">
        <v>13.7</v>
      </c>
      <c r="H31">
        <v>363.5</v>
      </c>
      <c r="I31">
        <v>0.3</v>
      </c>
    </row>
    <row r="32" spans="1:9" x14ac:dyDescent="0.45">
      <c r="A32">
        <v>31</v>
      </c>
      <c r="B32" t="s">
        <v>39</v>
      </c>
      <c r="C32">
        <v>15</v>
      </c>
      <c r="D32">
        <v>6.7</v>
      </c>
      <c r="E32">
        <v>6.9</v>
      </c>
      <c r="F32">
        <v>14.9</v>
      </c>
      <c r="G32">
        <v>14.5</v>
      </c>
      <c r="H32">
        <v>185.5</v>
      </c>
      <c r="I32">
        <v>0.5</v>
      </c>
    </row>
    <row r="33" spans="1:9" x14ac:dyDescent="0.45">
      <c r="A33">
        <v>32</v>
      </c>
      <c r="B33" t="s">
        <v>40</v>
      </c>
      <c r="C33">
        <v>14.9</v>
      </c>
      <c r="D33">
        <v>6.2</v>
      </c>
      <c r="E33">
        <v>6.4</v>
      </c>
      <c r="F33">
        <v>16.100000000000001</v>
      </c>
      <c r="G33">
        <v>15.6</v>
      </c>
      <c r="H33">
        <v>163.30000000000001</v>
      </c>
      <c r="I33">
        <v>0.6</v>
      </c>
    </row>
    <row r="34" spans="1:9" x14ac:dyDescent="0.45">
      <c r="A34">
        <v>33</v>
      </c>
      <c r="B34" t="s">
        <v>41</v>
      </c>
      <c r="C34">
        <v>14.7</v>
      </c>
      <c r="D34">
        <v>5.6</v>
      </c>
      <c r="E34">
        <v>6</v>
      </c>
      <c r="F34">
        <v>17.8</v>
      </c>
      <c r="G34">
        <v>16.600000000000001</v>
      </c>
      <c r="H34">
        <v>115.5</v>
      </c>
      <c r="I34">
        <v>0.9</v>
      </c>
    </row>
    <row r="35" spans="1:9" x14ac:dyDescent="0.45">
      <c r="A35">
        <v>34</v>
      </c>
      <c r="B35" t="s">
        <v>42</v>
      </c>
      <c r="C35">
        <v>14.3</v>
      </c>
      <c r="D35">
        <v>4.5</v>
      </c>
      <c r="E35">
        <v>4.2</v>
      </c>
      <c r="F35">
        <v>22.2</v>
      </c>
      <c r="G35">
        <v>23.6</v>
      </c>
      <c r="H35">
        <v>218.5</v>
      </c>
      <c r="I35">
        <v>0.5</v>
      </c>
    </row>
    <row r="36" spans="1:9" x14ac:dyDescent="0.45">
      <c r="A36">
        <v>35</v>
      </c>
      <c r="B36" t="s">
        <v>43</v>
      </c>
      <c r="C36">
        <v>14.3</v>
      </c>
      <c r="D36">
        <v>4.5</v>
      </c>
      <c r="E36">
        <v>4</v>
      </c>
      <c r="F36">
        <v>22.2</v>
      </c>
      <c r="G36">
        <v>25.3</v>
      </c>
      <c r="H36">
        <v>292.60000000000002</v>
      </c>
      <c r="I36">
        <v>0.3</v>
      </c>
    </row>
    <row r="37" spans="1:9" x14ac:dyDescent="0.45">
      <c r="A37">
        <v>36</v>
      </c>
      <c r="B37" t="s">
        <v>44</v>
      </c>
      <c r="C37">
        <v>14</v>
      </c>
      <c r="D37">
        <v>3.4</v>
      </c>
      <c r="E37">
        <v>3.6</v>
      </c>
      <c r="F37">
        <v>29.2</v>
      </c>
      <c r="G37">
        <v>27.9</v>
      </c>
      <c r="H37">
        <v>104.9</v>
      </c>
      <c r="I37">
        <v>1</v>
      </c>
    </row>
    <row r="38" spans="1:9" x14ac:dyDescent="0.45">
      <c r="A38">
        <v>37</v>
      </c>
      <c r="B38" t="s">
        <v>45</v>
      </c>
      <c r="C38">
        <v>13.9</v>
      </c>
      <c r="D38">
        <v>8.5</v>
      </c>
      <c r="E38">
        <v>8.6999999999999993</v>
      </c>
      <c r="F38">
        <v>11.8</v>
      </c>
      <c r="G38">
        <v>11.5</v>
      </c>
      <c r="H38">
        <v>273.5</v>
      </c>
      <c r="I38">
        <v>0.4</v>
      </c>
    </row>
    <row r="39" spans="1:9" x14ac:dyDescent="0.45">
      <c r="A39">
        <v>38</v>
      </c>
      <c r="B39" t="s">
        <v>46</v>
      </c>
      <c r="C39">
        <v>13.7</v>
      </c>
      <c r="D39">
        <v>2.9</v>
      </c>
      <c r="E39">
        <v>2.8</v>
      </c>
      <c r="F39">
        <v>35.1</v>
      </c>
      <c r="G39">
        <v>35.9</v>
      </c>
      <c r="H39">
        <v>106.5</v>
      </c>
      <c r="I39">
        <v>0.9</v>
      </c>
    </row>
    <row r="40" spans="1:9" x14ac:dyDescent="0.45">
      <c r="A40">
        <v>39</v>
      </c>
      <c r="B40" t="s">
        <v>47</v>
      </c>
      <c r="C40">
        <v>13.7</v>
      </c>
      <c r="D40">
        <v>3.9</v>
      </c>
      <c r="E40">
        <v>4.5</v>
      </c>
      <c r="F40">
        <v>25.9</v>
      </c>
      <c r="G40">
        <v>22.5</v>
      </c>
      <c r="H40">
        <v>100.7</v>
      </c>
      <c r="I40">
        <v>1</v>
      </c>
    </row>
    <row r="41" spans="1:9" x14ac:dyDescent="0.45">
      <c r="A41">
        <v>40</v>
      </c>
      <c r="B41" t="s">
        <v>48</v>
      </c>
      <c r="C41">
        <v>13.6</v>
      </c>
      <c r="D41">
        <v>5.4</v>
      </c>
      <c r="E41">
        <v>5.5</v>
      </c>
      <c r="F41">
        <v>18.7</v>
      </c>
      <c r="G41">
        <v>18.2</v>
      </c>
      <c r="H41">
        <v>253.3</v>
      </c>
      <c r="I41">
        <v>0.4</v>
      </c>
    </row>
    <row r="42" spans="1:9" x14ac:dyDescent="0.45">
      <c r="A42">
        <v>41</v>
      </c>
      <c r="B42" t="s">
        <v>49</v>
      </c>
      <c r="C42">
        <v>13.5</v>
      </c>
      <c r="D42">
        <v>3.4</v>
      </c>
      <c r="E42">
        <v>3.6</v>
      </c>
      <c r="F42">
        <v>29.2</v>
      </c>
      <c r="G42">
        <v>27.5</v>
      </c>
      <c r="H42">
        <v>112.2</v>
      </c>
      <c r="I42">
        <v>0.9</v>
      </c>
    </row>
    <row r="43" spans="1:9" x14ac:dyDescent="0.45">
      <c r="A43">
        <v>42</v>
      </c>
      <c r="B43" t="s">
        <v>50</v>
      </c>
      <c r="C43">
        <v>13.5</v>
      </c>
      <c r="D43">
        <v>7.6</v>
      </c>
      <c r="E43">
        <v>8.6999999999999993</v>
      </c>
      <c r="F43">
        <v>13.2</v>
      </c>
      <c r="G43">
        <v>11.6</v>
      </c>
      <c r="H43">
        <v>307.7</v>
      </c>
      <c r="I43">
        <v>0.3</v>
      </c>
    </row>
    <row r="44" spans="1:9" x14ac:dyDescent="0.45">
      <c r="A44">
        <v>43</v>
      </c>
      <c r="B44" t="s">
        <v>51</v>
      </c>
      <c r="C44">
        <v>13.4</v>
      </c>
      <c r="D44">
        <v>5.2</v>
      </c>
      <c r="E44">
        <v>5</v>
      </c>
      <c r="F44">
        <v>19.100000000000001</v>
      </c>
      <c r="G44">
        <v>20.100000000000001</v>
      </c>
      <c r="H44">
        <v>105.8</v>
      </c>
      <c r="I44">
        <v>0.9</v>
      </c>
    </row>
    <row r="45" spans="1:9" x14ac:dyDescent="0.45">
      <c r="A45">
        <v>44</v>
      </c>
      <c r="B45" t="s">
        <v>52</v>
      </c>
      <c r="C45">
        <v>13.3</v>
      </c>
      <c r="D45">
        <v>6.8</v>
      </c>
      <c r="E45">
        <v>6.6</v>
      </c>
      <c r="F45">
        <v>14.8</v>
      </c>
      <c r="G45">
        <v>15.2</v>
      </c>
      <c r="H45">
        <v>149.5</v>
      </c>
      <c r="I45">
        <v>0.7</v>
      </c>
    </row>
    <row r="46" spans="1:9" x14ac:dyDescent="0.45">
      <c r="A46">
        <v>45</v>
      </c>
      <c r="B46" t="s">
        <v>53</v>
      </c>
      <c r="C46">
        <v>13.2</v>
      </c>
      <c r="D46">
        <v>2.7</v>
      </c>
      <c r="E46">
        <v>2.8</v>
      </c>
      <c r="F46">
        <v>36.6</v>
      </c>
      <c r="G46">
        <v>35.5</v>
      </c>
      <c r="H46">
        <v>99.7</v>
      </c>
      <c r="I46">
        <v>1</v>
      </c>
    </row>
    <row r="47" spans="1:9" x14ac:dyDescent="0.45">
      <c r="A47">
        <v>46</v>
      </c>
      <c r="B47" t="s">
        <v>54</v>
      </c>
      <c r="C47">
        <v>13</v>
      </c>
      <c r="D47">
        <v>4.4000000000000004</v>
      </c>
      <c r="E47">
        <v>4.0999999999999996</v>
      </c>
      <c r="F47">
        <v>22.5</v>
      </c>
      <c r="G47">
        <v>24.6</v>
      </c>
      <c r="H47">
        <v>114.1</v>
      </c>
      <c r="I47">
        <v>0.9</v>
      </c>
    </row>
    <row r="48" spans="1:9" x14ac:dyDescent="0.45">
      <c r="A48">
        <v>47</v>
      </c>
      <c r="B48" t="s">
        <v>55</v>
      </c>
      <c r="C48">
        <v>13</v>
      </c>
      <c r="D48">
        <v>3.7</v>
      </c>
      <c r="E48">
        <v>3.8</v>
      </c>
      <c r="F48">
        <v>26.8</v>
      </c>
      <c r="G48">
        <v>26.1</v>
      </c>
      <c r="H48">
        <v>94</v>
      </c>
      <c r="I48">
        <v>1.1000000000000001</v>
      </c>
    </row>
    <row r="49" spans="1:9" x14ac:dyDescent="0.45">
      <c r="A49">
        <v>48</v>
      </c>
      <c r="B49" t="s">
        <v>56</v>
      </c>
      <c r="C49">
        <v>13</v>
      </c>
      <c r="D49">
        <v>3.5</v>
      </c>
      <c r="E49">
        <v>3.8</v>
      </c>
      <c r="F49">
        <v>28.3</v>
      </c>
      <c r="G49">
        <v>26.7</v>
      </c>
      <c r="H49">
        <v>127.1</v>
      </c>
      <c r="I49">
        <v>0.8</v>
      </c>
    </row>
    <row r="50" spans="1:9" x14ac:dyDescent="0.45">
      <c r="A50">
        <v>49</v>
      </c>
      <c r="B50" t="s">
        <v>57</v>
      </c>
      <c r="C50">
        <v>13</v>
      </c>
      <c r="D50">
        <v>3.7</v>
      </c>
      <c r="E50">
        <v>3.7</v>
      </c>
      <c r="F50">
        <v>26.8</v>
      </c>
      <c r="G50">
        <v>26.7</v>
      </c>
      <c r="H50">
        <v>99.2</v>
      </c>
      <c r="I50">
        <v>1</v>
      </c>
    </row>
    <row r="51" spans="1:9" x14ac:dyDescent="0.45">
      <c r="A51">
        <v>50</v>
      </c>
      <c r="B51" t="s">
        <v>58</v>
      </c>
      <c r="C51">
        <v>12.9</v>
      </c>
      <c r="D51">
        <v>5.7</v>
      </c>
      <c r="E51">
        <v>5.6</v>
      </c>
      <c r="F51">
        <v>17.5</v>
      </c>
      <c r="G51">
        <v>18</v>
      </c>
      <c r="H51">
        <v>109.7</v>
      </c>
      <c r="I51">
        <v>0.9</v>
      </c>
    </row>
    <row r="52" spans="1:9" x14ac:dyDescent="0.45">
      <c r="A52">
        <v>51</v>
      </c>
      <c r="B52" t="s">
        <v>59</v>
      </c>
      <c r="C52">
        <v>12.8</v>
      </c>
      <c r="D52">
        <v>5.3</v>
      </c>
      <c r="E52">
        <v>5.2</v>
      </c>
      <c r="F52">
        <v>19</v>
      </c>
      <c r="G52">
        <v>19.3</v>
      </c>
      <c r="H52">
        <v>204.7</v>
      </c>
      <c r="I52">
        <v>0.5</v>
      </c>
    </row>
    <row r="53" spans="1:9" x14ac:dyDescent="0.45">
      <c r="A53">
        <v>52</v>
      </c>
      <c r="B53" t="s">
        <v>60</v>
      </c>
      <c r="C53">
        <v>12.8</v>
      </c>
      <c r="D53">
        <v>3.5</v>
      </c>
      <c r="E53">
        <v>3.7</v>
      </c>
      <c r="F53">
        <v>28.4</v>
      </c>
      <c r="G53">
        <v>27.2</v>
      </c>
      <c r="H53">
        <v>95.8</v>
      </c>
      <c r="I53">
        <v>1</v>
      </c>
    </row>
    <row r="54" spans="1:9" x14ac:dyDescent="0.45">
      <c r="A54">
        <v>53</v>
      </c>
      <c r="B54" t="s">
        <v>61</v>
      </c>
      <c r="C54">
        <v>12.8</v>
      </c>
      <c r="D54">
        <v>3</v>
      </c>
      <c r="E54">
        <v>3</v>
      </c>
      <c r="F54">
        <v>33.700000000000003</v>
      </c>
      <c r="G54">
        <v>33.6</v>
      </c>
      <c r="H54">
        <v>147.1</v>
      </c>
      <c r="I54">
        <v>0.7</v>
      </c>
    </row>
    <row r="55" spans="1:9" x14ac:dyDescent="0.45">
      <c r="A55">
        <v>54</v>
      </c>
      <c r="B55" t="s">
        <v>62</v>
      </c>
      <c r="C55">
        <v>12.7</v>
      </c>
      <c r="D55">
        <v>8.1</v>
      </c>
      <c r="E55">
        <v>8.8000000000000007</v>
      </c>
      <c r="F55">
        <v>12.3</v>
      </c>
      <c r="G55">
        <v>11.4</v>
      </c>
      <c r="H55">
        <v>165.4</v>
      </c>
      <c r="I55">
        <v>0.6</v>
      </c>
    </row>
    <row r="56" spans="1:9" x14ac:dyDescent="0.45">
      <c r="A56">
        <v>55</v>
      </c>
      <c r="B56" t="s">
        <v>63</v>
      </c>
      <c r="C56">
        <v>12.4</v>
      </c>
      <c r="D56">
        <v>3.4</v>
      </c>
      <c r="E56">
        <v>3.9</v>
      </c>
      <c r="F56">
        <v>29.5</v>
      </c>
      <c r="G56">
        <v>25.9</v>
      </c>
      <c r="H56">
        <v>91.9</v>
      </c>
      <c r="I56">
        <v>1.1000000000000001</v>
      </c>
    </row>
    <row r="57" spans="1:9" x14ac:dyDescent="0.45">
      <c r="A57">
        <v>56</v>
      </c>
      <c r="B57" t="s">
        <v>64</v>
      </c>
      <c r="C57">
        <v>12.3</v>
      </c>
      <c r="D57">
        <v>3.5</v>
      </c>
      <c r="E57">
        <v>3.6</v>
      </c>
      <c r="F57">
        <v>28.2</v>
      </c>
      <c r="G57">
        <v>27.9</v>
      </c>
      <c r="H57">
        <v>96.5</v>
      </c>
      <c r="I57">
        <v>1</v>
      </c>
    </row>
    <row r="58" spans="1:9" x14ac:dyDescent="0.45">
      <c r="A58">
        <v>57</v>
      </c>
      <c r="B58" t="s">
        <v>65</v>
      </c>
      <c r="C58">
        <v>12.2</v>
      </c>
      <c r="D58">
        <v>4.8</v>
      </c>
      <c r="E58">
        <v>5.6</v>
      </c>
      <c r="F58">
        <v>21</v>
      </c>
      <c r="G58">
        <v>17.899999999999999</v>
      </c>
      <c r="H58">
        <v>153.19999999999999</v>
      </c>
      <c r="I58">
        <v>0.7</v>
      </c>
    </row>
    <row r="59" spans="1:9" x14ac:dyDescent="0.45">
      <c r="A59">
        <v>58</v>
      </c>
      <c r="B59" t="s">
        <v>66</v>
      </c>
      <c r="C59">
        <v>12.2</v>
      </c>
      <c r="D59">
        <v>2.1</v>
      </c>
      <c r="E59">
        <v>2.4</v>
      </c>
      <c r="F59">
        <v>47.1</v>
      </c>
      <c r="G59">
        <v>42.4</v>
      </c>
      <c r="H59">
        <v>72.900000000000006</v>
      </c>
      <c r="I59">
        <v>1.4</v>
      </c>
    </row>
    <row r="60" spans="1:9" x14ac:dyDescent="0.45">
      <c r="A60">
        <v>59</v>
      </c>
      <c r="B60" t="s">
        <v>67</v>
      </c>
      <c r="C60">
        <v>12</v>
      </c>
      <c r="D60">
        <v>7.2</v>
      </c>
      <c r="E60">
        <v>5.9</v>
      </c>
      <c r="F60">
        <v>13.9</v>
      </c>
      <c r="G60">
        <v>16.899999999999999</v>
      </c>
      <c r="H60">
        <v>114.6</v>
      </c>
      <c r="I60">
        <v>0.9</v>
      </c>
    </row>
    <row r="61" spans="1:9" x14ac:dyDescent="0.45">
      <c r="A61">
        <v>60</v>
      </c>
      <c r="B61" t="s">
        <v>68</v>
      </c>
      <c r="C61">
        <v>11.9</v>
      </c>
      <c r="D61">
        <v>5.8</v>
      </c>
      <c r="E61">
        <v>5.2</v>
      </c>
      <c r="F61">
        <v>17.100000000000001</v>
      </c>
      <c r="G61">
        <v>19.3</v>
      </c>
      <c r="H61">
        <v>137.5</v>
      </c>
      <c r="I61">
        <v>0.7</v>
      </c>
    </row>
    <row r="62" spans="1:9" x14ac:dyDescent="0.45">
      <c r="A62">
        <v>61</v>
      </c>
      <c r="B62" t="s">
        <v>69</v>
      </c>
      <c r="C62">
        <v>11.8</v>
      </c>
      <c r="D62">
        <v>7.3</v>
      </c>
      <c r="E62">
        <v>7.5</v>
      </c>
      <c r="F62">
        <v>13.7</v>
      </c>
      <c r="G62">
        <v>13.4</v>
      </c>
      <c r="H62">
        <v>150</v>
      </c>
      <c r="I62">
        <v>0.7</v>
      </c>
    </row>
    <row r="63" spans="1:9" x14ac:dyDescent="0.45">
      <c r="A63">
        <v>62</v>
      </c>
      <c r="B63" t="s">
        <v>70</v>
      </c>
      <c r="C63">
        <v>11.5</v>
      </c>
      <c r="D63">
        <v>3</v>
      </c>
      <c r="E63">
        <v>3.2</v>
      </c>
      <c r="F63">
        <v>33.799999999999997</v>
      </c>
      <c r="G63">
        <v>31.5</v>
      </c>
      <c r="H63">
        <v>81.2</v>
      </c>
      <c r="I63">
        <v>1.2</v>
      </c>
    </row>
    <row r="64" spans="1:9" x14ac:dyDescent="0.45">
      <c r="A64">
        <v>63</v>
      </c>
      <c r="B64" t="s">
        <v>71</v>
      </c>
      <c r="C64">
        <v>11.4</v>
      </c>
      <c r="D64">
        <v>3.2</v>
      </c>
      <c r="E64">
        <v>3.3</v>
      </c>
      <c r="F64">
        <v>30.9</v>
      </c>
      <c r="G64">
        <v>30</v>
      </c>
      <c r="H64">
        <v>91.4</v>
      </c>
      <c r="I64">
        <v>1.1000000000000001</v>
      </c>
    </row>
    <row r="65" spans="1:9" x14ac:dyDescent="0.45">
      <c r="A65">
        <v>64</v>
      </c>
      <c r="B65" t="s">
        <v>72</v>
      </c>
      <c r="C65">
        <v>11.2</v>
      </c>
      <c r="D65">
        <v>5.5</v>
      </c>
      <c r="E65">
        <v>5.8</v>
      </c>
      <c r="F65">
        <v>18.2</v>
      </c>
      <c r="G65">
        <v>17.2</v>
      </c>
      <c r="H65">
        <v>86.1</v>
      </c>
      <c r="I65">
        <v>1.2</v>
      </c>
    </row>
    <row r="66" spans="1:9" x14ac:dyDescent="0.45">
      <c r="A66">
        <v>65</v>
      </c>
      <c r="B66" t="s">
        <v>73</v>
      </c>
      <c r="C66">
        <v>11.2</v>
      </c>
      <c r="D66">
        <v>8.6999999999999993</v>
      </c>
      <c r="E66">
        <v>9.8000000000000007</v>
      </c>
      <c r="F66">
        <v>11.4</v>
      </c>
      <c r="G66">
        <v>10.199999999999999</v>
      </c>
      <c r="H66">
        <v>98.8</v>
      </c>
      <c r="I66">
        <v>1</v>
      </c>
    </row>
    <row r="67" spans="1:9" x14ac:dyDescent="0.45">
      <c r="A67">
        <v>66</v>
      </c>
      <c r="B67" t="s">
        <v>74</v>
      </c>
      <c r="C67">
        <v>11</v>
      </c>
      <c r="D67">
        <v>4</v>
      </c>
      <c r="E67">
        <v>4.4000000000000004</v>
      </c>
      <c r="F67">
        <v>24.8</v>
      </c>
      <c r="G67">
        <v>22.6</v>
      </c>
      <c r="H67">
        <v>102.1</v>
      </c>
      <c r="I67">
        <v>1</v>
      </c>
    </row>
    <row r="68" spans="1:9" x14ac:dyDescent="0.45">
      <c r="A68">
        <v>67</v>
      </c>
      <c r="B68" t="s">
        <v>75</v>
      </c>
      <c r="C68">
        <v>11</v>
      </c>
      <c r="D68">
        <v>2.5</v>
      </c>
      <c r="E68">
        <v>2.6</v>
      </c>
      <c r="F68">
        <v>40.1</v>
      </c>
      <c r="G68">
        <v>37.799999999999997</v>
      </c>
      <c r="H68">
        <v>69.599999999999994</v>
      </c>
      <c r="I68">
        <v>1.4</v>
      </c>
    </row>
    <row r="69" spans="1:9" x14ac:dyDescent="0.45">
      <c r="A69">
        <v>68</v>
      </c>
      <c r="B69" t="s">
        <v>76</v>
      </c>
      <c r="C69">
        <v>10.9</v>
      </c>
      <c r="D69">
        <v>2.9</v>
      </c>
      <c r="E69">
        <v>3.3</v>
      </c>
      <c r="F69">
        <v>34.799999999999997</v>
      </c>
      <c r="G69">
        <v>30.4</v>
      </c>
      <c r="H69">
        <v>117.7</v>
      </c>
      <c r="I69">
        <v>0.8</v>
      </c>
    </row>
    <row r="70" spans="1:9" x14ac:dyDescent="0.45">
      <c r="A70">
        <v>69</v>
      </c>
      <c r="B70" t="s">
        <v>77</v>
      </c>
      <c r="C70">
        <v>10.7</v>
      </c>
      <c r="D70">
        <v>6.7</v>
      </c>
      <c r="E70">
        <v>7.6</v>
      </c>
      <c r="F70">
        <v>15</v>
      </c>
      <c r="G70">
        <v>13.1</v>
      </c>
      <c r="H70">
        <v>423.5</v>
      </c>
      <c r="I70">
        <v>0.2</v>
      </c>
    </row>
    <row r="71" spans="1:9" x14ac:dyDescent="0.45">
      <c r="A71">
        <v>70</v>
      </c>
      <c r="B71" t="s">
        <v>78</v>
      </c>
      <c r="C71">
        <v>10.3</v>
      </c>
      <c r="D71">
        <v>4.0999999999999996</v>
      </c>
      <c r="E71">
        <v>4.3</v>
      </c>
      <c r="F71">
        <v>24.4</v>
      </c>
      <c r="G71">
        <v>23.2</v>
      </c>
      <c r="H71">
        <v>95.2</v>
      </c>
      <c r="I71">
        <v>1.1000000000000001</v>
      </c>
    </row>
    <row r="72" spans="1:9" x14ac:dyDescent="0.45">
      <c r="A72">
        <v>71</v>
      </c>
      <c r="B72" t="s">
        <v>79</v>
      </c>
      <c r="C72">
        <v>10.3</v>
      </c>
      <c r="D72">
        <v>6.6</v>
      </c>
      <c r="E72">
        <v>8.3000000000000007</v>
      </c>
      <c r="F72">
        <v>15.2</v>
      </c>
      <c r="G72">
        <v>12.1</v>
      </c>
      <c r="H72">
        <v>122.5</v>
      </c>
      <c r="I72">
        <v>0.8</v>
      </c>
    </row>
    <row r="73" spans="1:9" x14ac:dyDescent="0.45">
      <c r="A73">
        <v>72</v>
      </c>
      <c r="B73" t="s">
        <v>80</v>
      </c>
      <c r="C73">
        <v>10.3</v>
      </c>
      <c r="D73">
        <v>2.9</v>
      </c>
      <c r="E73">
        <v>3.4</v>
      </c>
      <c r="F73">
        <v>34.1</v>
      </c>
      <c r="G73">
        <v>29.4</v>
      </c>
      <c r="H73">
        <v>72.5</v>
      </c>
      <c r="I73">
        <v>1.4</v>
      </c>
    </row>
    <row r="74" spans="1:9" x14ac:dyDescent="0.45">
      <c r="A74">
        <v>73</v>
      </c>
      <c r="B74" t="s">
        <v>81</v>
      </c>
      <c r="C74">
        <v>10.199999999999999</v>
      </c>
      <c r="D74">
        <v>4</v>
      </c>
      <c r="E74">
        <v>5.0999999999999996</v>
      </c>
      <c r="F74">
        <v>24.7</v>
      </c>
      <c r="G74">
        <v>19.399999999999999</v>
      </c>
      <c r="H74">
        <v>92.1</v>
      </c>
      <c r="I74">
        <v>1.1000000000000001</v>
      </c>
    </row>
    <row r="75" spans="1:9" x14ac:dyDescent="0.45">
      <c r="A75">
        <v>74</v>
      </c>
      <c r="B75" t="s">
        <v>82</v>
      </c>
      <c r="C75">
        <v>9.9</v>
      </c>
      <c r="D75">
        <v>7.8</v>
      </c>
      <c r="E75">
        <v>8.1999999999999993</v>
      </c>
      <c r="F75">
        <v>12.9</v>
      </c>
      <c r="G75">
        <v>12.2</v>
      </c>
      <c r="H75">
        <v>177.3</v>
      </c>
      <c r="I75">
        <v>0.6</v>
      </c>
    </row>
    <row r="76" spans="1:9" x14ac:dyDescent="0.45">
      <c r="A76">
        <v>75</v>
      </c>
      <c r="B76" t="s">
        <v>83</v>
      </c>
      <c r="C76">
        <v>9.5</v>
      </c>
      <c r="D76">
        <v>4.2</v>
      </c>
      <c r="E76">
        <v>5</v>
      </c>
      <c r="F76">
        <v>23.8</v>
      </c>
      <c r="G76">
        <v>20</v>
      </c>
      <c r="H76">
        <v>72.7</v>
      </c>
      <c r="I76">
        <v>1.4</v>
      </c>
    </row>
    <row r="77" spans="1:9" x14ac:dyDescent="0.45">
      <c r="A77">
        <v>76</v>
      </c>
      <c r="B77" t="s">
        <v>84</v>
      </c>
      <c r="C77">
        <v>9.3000000000000007</v>
      </c>
      <c r="D77">
        <v>4.4000000000000004</v>
      </c>
      <c r="E77">
        <v>4.7</v>
      </c>
      <c r="F77">
        <v>22.8</v>
      </c>
      <c r="G77">
        <v>21.3</v>
      </c>
      <c r="H77">
        <v>69.2</v>
      </c>
      <c r="I77">
        <v>1.4</v>
      </c>
    </row>
    <row r="78" spans="1:9" x14ac:dyDescent="0.45">
      <c r="A78">
        <v>77</v>
      </c>
      <c r="B78" t="s">
        <v>85</v>
      </c>
      <c r="C78">
        <v>8.9</v>
      </c>
      <c r="D78">
        <v>3.5</v>
      </c>
      <c r="E78">
        <v>3.3</v>
      </c>
      <c r="F78">
        <v>28.3</v>
      </c>
      <c r="G78">
        <v>29.9</v>
      </c>
      <c r="H78">
        <v>64.599999999999994</v>
      </c>
      <c r="I78">
        <v>1.5</v>
      </c>
    </row>
    <row r="79" spans="1:9" x14ac:dyDescent="0.45">
      <c r="A79">
        <v>78</v>
      </c>
      <c r="B79" t="s">
        <v>86</v>
      </c>
      <c r="C79">
        <v>8.8000000000000007</v>
      </c>
      <c r="D79">
        <v>4.5999999999999996</v>
      </c>
      <c r="E79">
        <v>4.7</v>
      </c>
      <c r="F79">
        <v>21.7</v>
      </c>
      <c r="G79">
        <v>21.3</v>
      </c>
      <c r="H79">
        <v>74.2</v>
      </c>
      <c r="I79">
        <v>1.3</v>
      </c>
    </row>
    <row r="80" spans="1:9" x14ac:dyDescent="0.45">
      <c r="A80">
        <v>79</v>
      </c>
      <c r="B80" t="s">
        <v>87</v>
      </c>
      <c r="C80">
        <v>8.6999999999999993</v>
      </c>
      <c r="D80">
        <v>3.8</v>
      </c>
      <c r="E80">
        <v>4.7</v>
      </c>
      <c r="F80">
        <v>26.3</v>
      </c>
      <c r="G80">
        <v>21.1</v>
      </c>
      <c r="H80">
        <v>64.099999999999994</v>
      </c>
      <c r="I80">
        <v>1.6</v>
      </c>
    </row>
    <row r="81" spans="1:9" x14ac:dyDescent="0.45">
      <c r="A81">
        <v>80</v>
      </c>
      <c r="B81" t="s">
        <v>88</v>
      </c>
      <c r="C81">
        <v>8.6</v>
      </c>
      <c r="D81">
        <v>3.6</v>
      </c>
      <c r="E81">
        <v>4</v>
      </c>
      <c r="F81">
        <v>28.1</v>
      </c>
      <c r="G81">
        <v>25</v>
      </c>
      <c r="H81">
        <v>58.7</v>
      </c>
      <c r="I81">
        <v>1.7</v>
      </c>
    </row>
    <row r="82" spans="1:9" x14ac:dyDescent="0.45">
      <c r="A82">
        <v>81</v>
      </c>
      <c r="B82" t="s">
        <v>89</v>
      </c>
      <c r="C82">
        <v>8.6</v>
      </c>
      <c r="D82">
        <v>3.9</v>
      </c>
      <c r="E82">
        <v>4.3</v>
      </c>
      <c r="F82">
        <v>26</v>
      </c>
      <c r="G82">
        <v>23.4</v>
      </c>
      <c r="H82">
        <v>64.099999999999994</v>
      </c>
      <c r="I82">
        <v>1.6</v>
      </c>
    </row>
    <row r="83" spans="1:9" x14ac:dyDescent="0.45">
      <c r="A83">
        <v>82</v>
      </c>
      <c r="B83" t="s">
        <v>90</v>
      </c>
      <c r="C83">
        <v>8.5</v>
      </c>
      <c r="D83">
        <v>5.3</v>
      </c>
      <c r="E83">
        <v>6.5</v>
      </c>
      <c r="F83">
        <v>18.7</v>
      </c>
      <c r="G83">
        <v>15.4</v>
      </c>
      <c r="H83">
        <v>59.4</v>
      </c>
      <c r="I83">
        <v>1.7</v>
      </c>
    </row>
    <row r="84" spans="1:9" x14ac:dyDescent="0.45">
      <c r="A84">
        <v>83</v>
      </c>
      <c r="B84" t="s">
        <v>91</v>
      </c>
      <c r="C84">
        <v>8.4</v>
      </c>
      <c r="D84">
        <v>6</v>
      </c>
      <c r="E84">
        <v>7.3</v>
      </c>
      <c r="F84">
        <v>16.600000000000001</v>
      </c>
      <c r="G84">
        <v>13.6</v>
      </c>
      <c r="H84">
        <v>86.9</v>
      </c>
      <c r="I84">
        <v>1.2</v>
      </c>
    </row>
    <row r="85" spans="1:9" x14ac:dyDescent="0.45">
      <c r="A85">
        <v>84</v>
      </c>
      <c r="B85" t="s">
        <v>92</v>
      </c>
      <c r="C85">
        <v>8.4</v>
      </c>
      <c r="D85">
        <v>3.7</v>
      </c>
      <c r="E85">
        <v>4.0999999999999996</v>
      </c>
      <c r="F85">
        <v>27.2</v>
      </c>
      <c r="G85">
        <v>24.4</v>
      </c>
      <c r="H85">
        <v>62.9</v>
      </c>
      <c r="I85">
        <v>1.6</v>
      </c>
    </row>
    <row r="86" spans="1:9" x14ac:dyDescent="0.45">
      <c r="A86">
        <v>85</v>
      </c>
      <c r="B86" t="s">
        <v>93</v>
      </c>
      <c r="C86">
        <v>8.1999999999999993</v>
      </c>
      <c r="D86">
        <v>6.9</v>
      </c>
      <c r="E86">
        <v>7.3</v>
      </c>
      <c r="F86">
        <v>14.6</v>
      </c>
      <c r="G86">
        <v>13.7</v>
      </c>
      <c r="H86">
        <v>61.2</v>
      </c>
      <c r="I86">
        <v>1.6</v>
      </c>
    </row>
    <row r="87" spans="1:9" x14ac:dyDescent="0.45">
      <c r="A87">
        <v>86</v>
      </c>
      <c r="B87" t="s">
        <v>94</v>
      </c>
      <c r="C87">
        <v>8.1</v>
      </c>
      <c r="D87">
        <v>4.3</v>
      </c>
      <c r="E87">
        <v>4.5</v>
      </c>
      <c r="F87">
        <v>23.4</v>
      </c>
      <c r="G87">
        <v>22.3</v>
      </c>
      <c r="H87">
        <v>71.900000000000006</v>
      </c>
      <c r="I87">
        <v>1.4</v>
      </c>
    </row>
    <row r="88" spans="1:9" x14ac:dyDescent="0.45">
      <c r="A88">
        <v>87</v>
      </c>
      <c r="B88" t="s">
        <v>95</v>
      </c>
      <c r="C88">
        <v>8</v>
      </c>
      <c r="D88">
        <v>3.2</v>
      </c>
      <c r="E88">
        <v>4</v>
      </c>
      <c r="F88">
        <v>30.9</v>
      </c>
      <c r="G88">
        <v>24.7</v>
      </c>
      <c r="H88">
        <v>56.7</v>
      </c>
      <c r="I88">
        <v>1.8</v>
      </c>
    </row>
    <row r="89" spans="1:9" x14ac:dyDescent="0.45">
      <c r="A89">
        <v>88</v>
      </c>
      <c r="B89" t="s">
        <v>96</v>
      </c>
      <c r="C89">
        <v>7.7</v>
      </c>
      <c r="D89">
        <v>3.5</v>
      </c>
      <c r="E89">
        <v>4.0999999999999996</v>
      </c>
      <c r="F89">
        <v>28.3</v>
      </c>
      <c r="G89">
        <v>24.3</v>
      </c>
      <c r="H89">
        <v>58.6</v>
      </c>
      <c r="I89">
        <v>1.7</v>
      </c>
    </row>
    <row r="90" spans="1:9" x14ac:dyDescent="0.45">
      <c r="A90">
        <v>89</v>
      </c>
      <c r="B90" t="s">
        <v>97</v>
      </c>
      <c r="C90">
        <v>7.7</v>
      </c>
      <c r="D90">
        <v>5</v>
      </c>
      <c r="E90">
        <v>5.3</v>
      </c>
      <c r="F90">
        <v>20</v>
      </c>
      <c r="G90">
        <v>19</v>
      </c>
      <c r="H90">
        <v>57.2</v>
      </c>
      <c r="I90">
        <v>1.7</v>
      </c>
    </row>
    <row r="91" spans="1:9" x14ac:dyDescent="0.45">
      <c r="A91">
        <v>90</v>
      </c>
      <c r="B91" t="s">
        <v>98</v>
      </c>
      <c r="C91">
        <v>7.3</v>
      </c>
      <c r="D91">
        <v>4.5</v>
      </c>
      <c r="E91">
        <v>4.5999999999999996</v>
      </c>
      <c r="F91">
        <v>22.2</v>
      </c>
      <c r="G91">
        <v>21.8</v>
      </c>
      <c r="H91">
        <v>67</v>
      </c>
      <c r="I91">
        <v>1.5</v>
      </c>
    </row>
    <row r="92" spans="1:9" x14ac:dyDescent="0.45">
      <c r="A92">
        <v>91</v>
      </c>
      <c r="B92" t="s">
        <v>99</v>
      </c>
      <c r="C92">
        <v>7.3</v>
      </c>
      <c r="D92">
        <v>3.2</v>
      </c>
      <c r="E92">
        <v>5</v>
      </c>
      <c r="F92">
        <v>30.8</v>
      </c>
      <c r="G92">
        <v>19.8</v>
      </c>
      <c r="H92">
        <v>60.7</v>
      </c>
      <c r="I92">
        <v>1.6</v>
      </c>
    </row>
    <row r="93" spans="1:9" x14ac:dyDescent="0.45">
      <c r="A93">
        <v>92</v>
      </c>
      <c r="B93" t="s">
        <v>100</v>
      </c>
      <c r="C93">
        <v>7</v>
      </c>
      <c r="D93">
        <v>6.2</v>
      </c>
      <c r="E93">
        <v>7.6</v>
      </c>
      <c r="F93">
        <v>16.2</v>
      </c>
      <c r="G93">
        <v>13.1</v>
      </c>
      <c r="H93">
        <v>53.9</v>
      </c>
      <c r="I93">
        <v>1.9</v>
      </c>
    </row>
    <row r="94" spans="1:9" x14ac:dyDescent="0.45">
      <c r="A94">
        <v>93</v>
      </c>
      <c r="B94" t="s">
        <v>101</v>
      </c>
      <c r="C94">
        <v>7</v>
      </c>
      <c r="D94">
        <v>6.5</v>
      </c>
      <c r="E94">
        <v>6.9</v>
      </c>
      <c r="F94">
        <v>15.3</v>
      </c>
      <c r="G94">
        <v>14.5</v>
      </c>
      <c r="H94">
        <v>67.3</v>
      </c>
      <c r="I94">
        <v>1.5</v>
      </c>
    </row>
    <row r="95" spans="1:9" x14ac:dyDescent="0.45">
      <c r="A95">
        <v>94</v>
      </c>
      <c r="B95" t="s">
        <v>102</v>
      </c>
      <c r="C95">
        <v>6.8</v>
      </c>
      <c r="D95">
        <v>4.5999999999999996</v>
      </c>
      <c r="E95">
        <v>4.9000000000000004</v>
      </c>
      <c r="F95">
        <v>21.9</v>
      </c>
      <c r="G95">
        <v>20.3</v>
      </c>
      <c r="H95">
        <v>48</v>
      </c>
      <c r="I95">
        <v>2.1</v>
      </c>
    </row>
    <row r="96" spans="1:9" x14ac:dyDescent="0.45">
      <c r="A96">
        <v>95</v>
      </c>
      <c r="B96" t="s">
        <v>103</v>
      </c>
      <c r="C96">
        <v>6.7</v>
      </c>
      <c r="D96">
        <v>7.7</v>
      </c>
      <c r="E96">
        <v>8.1</v>
      </c>
      <c r="F96">
        <v>13</v>
      </c>
      <c r="G96">
        <v>12.4</v>
      </c>
      <c r="H96">
        <v>51.1</v>
      </c>
      <c r="I96">
        <v>2</v>
      </c>
    </row>
    <row r="97" spans="1:9" x14ac:dyDescent="0.45">
      <c r="A97">
        <v>96</v>
      </c>
      <c r="B97" t="s">
        <v>104</v>
      </c>
      <c r="C97">
        <v>6.7</v>
      </c>
      <c r="D97">
        <v>6.1</v>
      </c>
      <c r="E97">
        <v>6.4</v>
      </c>
      <c r="F97">
        <v>16.3</v>
      </c>
      <c r="G97">
        <v>15.5</v>
      </c>
      <c r="H97">
        <v>74.599999999999994</v>
      </c>
      <c r="I97">
        <v>1.3</v>
      </c>
    </row>
    <row r="98" spans="1:9" x14ac:dyDescent="0.45">
      <c r="A98">
        <v>97</v>
      </c>
      <c r="B98" t="s">
        <v>105</v>
      </c>
      <c r="C98">
        <v>6.6</v>
      </c>
      <c r="D98">
        <v>7.1</v>
      </c>
      <c r="E98">
        <v>7.2</v>
      </c>
      <c r="F98">
        <v>14.2</v>
      </c>
      <c r="G98">
        <v>13.8</v>
      </c>
      <c r="H98">
        <v>64.7</v>
      </c>
      <c r="I98">
        <v>1.5</v>
      </c>
    </row>
    <row r="99" spans="1:9" x14ac:dyDescent="0.45">
      <c r="A99">
        <v>98</v>
      </c>
      <c r="B99" t="s">
        <v>106</v>
      </c>
      <c r="C99">
        <v>6.5</v>
      </c>
      <c r="D99">
        <v>4.3</v>
      </c>
      <c r="E99">
        <v>4.9000000000000004</v>
      </c>
      <c r="F99">
        <v>23.1</v>
      </c>
      <c r="G99">
        <v>20.5</v>
      </c>
      <c r="H99">
        <v>48.1</v>
      </c>
      <c r="I99">
        <v>2.1</v>
      </c>
    </row>
    <row r="100" spans="1:9" x14ac:dyDescent="0.45">
      <c r="A100">
        <v>99</v>
      </c>
      <c r="B100" t="s">
        <v>107</v>
      </c>
      <c r="C100">
        <v>5.2</v>
      </c>
      <c r="D100">
        <v>6.7</v>
      </c>
      <c r="E100">
        <v>6.3</v>
      </c>
      <c r="F100">
        <v>14.9</v>
      </c>
      <c r="G100">
        <v>15.8</v>
      </c>
      <c r="H100">
        <v>42.2</v>
      </c>
      <c r="I100">
        <v>2.4</v>
      </c>
    </row>
    <row r="101" spans="1:9" x14ac:dyDescent="0.45">
      <c r="A101">
        <v>100</v>
      </c>
      <c r="B101" t="s">
        <v>108</v>
      </c>
      <c r="C101">
        <v>4.2</v>
      </c>
      <c r="D101">
        <v>7.7</v>
      </c>
      <c r="E101">
        <v>7.8</v>
      </c>
      <c r="F101">
        <v>13</v>
      </c>
      <c r="G101">
        <v>12.8</v>
      </c>
      <c r="H101">
        <v>34.299999999999997</v>
      </c>
      <c r="I101">
        <v>2.9</v>
      </c>
    </row>
    <row r="102" spans="1:9" x14ac:dyDescent="0.45">
      <c r="A102">
        <v>101</v>
      </c>
      <c r="B102" t="s">
        <v>109</v>
      </c>
      <c r="C102">
        <v>3.3</v>
      </c>
      <c r="D102">
        <v>11.7</v>
      </c>
      <c r="E102">
        <v>11.4</v>
      </c>
      <c r="F102">
        <v>8.6</v>
      </c>
      <c r="G102">
        <v>8.8000000000000007</v>
      </c>
      <c r="H102">
        <v>30.1</v>
      </c>
      <c r="I102">
        <v>3.3</v>
      </c>
    </row>
    <row r="103" spans="1:9" x14ac:dyDescent="0.45">
      <c r="A103">
        <v>102</v>
      </c>
      <c r="B103" t="s">
        <v>110</v>
      </c>
      <c r="C103">
        <v>3.2</v>
      </c>
      <c r="D103">
        <v>10.3</v>
      </c>
      <c r="E103">
        <v>10.7</v>
      </c>
      <c r="F103">
        <v>9.6999999999999993</v>
      </c>
      <c r="G103">
        <v>9.3000000000000007</v>
      </c>
      <c r="H103">
        <v>41.6</v>
      </c>
      <c r="I103">
        <v>2.4</v>
      </c>
    </row>
    <row r="104" spans="1:9" x14ac:dyDescent="0.45">
      <c r="A104">
        <v>103</v>
      </c>
      <c r="B104" t="s">
        <v>111</v>
      </c>
      <c r="C104">
        <v>3.1</v>
      </c>
      <c r="D104">
        <v>7.2</v>
      </c>
      <c r="E104">
        <v>6.8</v>
      </c>
      <c r="F104">
        <v>13.9</v>
      </c>
      <c r="G104">
        <v>14.8</v>
      </c>
      <c r="H104">
        <v>24.6</v>
      </c>
      <c r="I104">
        <v>4.0999999999999996</v>
      </c>
    </row>
    <row r="105" spans="1:9" x14ac:dyDescent="0.45">
      <c r="A105">
        <v>104</v>
      </c>
      <c r="B105" t="s">
        <v>112</v>
      </c>
      <c r="C105">
        <v>3.1</v>
      </c>
      <c r="D105">
        <v>6.3</v>
      </c>
      <c r="E105">
        <v>7.4</v>
      </c>
      <c r="F105">
        <v>15.9</v>
      </c>
      <c r="G105">
        <v>13.5</v>
      </c>
      <c r="H105">
        <v>24</v>
      </c>
      <c r="I105">
        <v>4.2</v>
      </c>
    </row>
  </sheetData>
  <autoFilter ref="A1:I105" xr:uid="{3B4E0727-4E6C-4C5B-A44B-01FCFF96EFD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DD106-5581-4E39-9F49-406757605A23}">
  <sheetPr filterMode="1"/>
  <dimension ref="A1:I122"/>
  <sheetViews>
    <sheetView workbookViewId="0">
      <selection activeCell="C96" sqref="C96"/>
    </sheetView>
  </sheetViews>
  <sheetFormatPr defaultRowHeight="14.25" x14ac:dyDescent="0.45"/>
  <cols>
    <col min="3" max="3" width="17.5976562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45">
      <c r="A2">
        <v>1</v>
      </c>
      <c r="B2" t="s">
        <v>113</v>
      </c>
      <c r="C2">
        <v>31.1</v>
      </c>
      <c r="D2">
        <v>1.9</v>
      </c>
      <c r="E2">
        <v>10</v>
      </c>
      <c r="F2">
        <v>53.7</v>
      </c>
      <c r="G2">
        <v>10</v>
      </c>
      <c r="H2">
        <v>649.4</v>
      </c>
      <c r="I2">
        <v>0.2</v>
      </c>
    </row>
    <row r="3" spans="1:9" hidden="1" x14ac:dyDescent="0.45">
      <c r="A3">
        <v>2</v>
      </c>
      <c r="B3" t="s">
        <v>9</v>
      </c>
      <c r="C3">
        <v>30.5</v>
      </c>
      <c r="D3">
        <v>3.9</v>
      </c>
      <c r="E3">
        <v>3.1</v>
      </c>
      <c r="F3">
        <v>25.3</v>
      </c>
      <c r="G3">
        <v>31.8</v>
      </c>
      <c r="H3">
        <v>283.7</v>
      </c>
      <c r="I3">
        <v>0.4</v>
      </c>
    </row>
    <row r="4" spans="1:9" hidden="1" x14ac:dyDescent="0.45">
      <c r="A4">
        <v>3</v>
      </c>
      <c r="B4" t="s">
        <v>114</v>
      </c>
      <c r="C4">
        <v>30.1</v>
      </c>
      <c r="D4">
        <v>2.7</v>
      </c>
      <c r="E4">
        <v>2.8</v>
      </c>
      <c r="F4">
        <v>37.5</v>
      </c>
      <c r="G4">
        <v>36.1</v>
      </c>
      <c r="H4">
        <v>193</v>
      </c>
      <c r="I4">
        <v>0.5</v>
      </c>
    </row>
    <row r="5" spans="1:9" hidden="1" x14ac:dyDescent="0.45">
      <c r="A5">
        <v>4</v>
      </c>
      <c r="B5" t="s">
        <v>115</v>
      </c>
      <c r="C5">
        <v>26.8</v>
      </c>
      <c r="D5">
        <v>8.5</v>
      </c>
      <c r="E5">
        <v>2.9</v>
      </c>
      <c r="F5">
        <v>11.8</v>
      </c>
      <c r="G5">
        <v>33.9</v>
      </c>
      <c r="H5">
        <v>318</v>
      </c>
      <c r="I5">
        <v>0.3</v>
      </c>
    </row>
    <row r="6" spans="1:9" hidden="1" x14ac:dyDescent="0.45">
      <c r="A6">
        <v>5</v>
      </c>
      <c r="B6" t="s">
        <v>116</v>
      </c>
      <c r="C6">
        <v>26.6</v>
      </c>
      <c r="D6">
        <v>10.8</v>
      </c>
      <c r="E6">
        <v>13.4</v>
      </c>
      <c r="F6">
        <v>9.3000000000000007</v>
      </c>
      <c r="G6">
        <v>7.4</v>
      </c>
      <c r="H6">
        <v>670.4</v>
      </c>
      <c r="I6">
        <v>0.1</v>
      </c>
    </row>
    <row r="7" spans="1:9" hidden="1" x14ac:dyDescent="0.45">
      <c r="A7">
        <v>6</v>
      </c>
      <c r="B7" t="s">
        <v>16</v>
      </c>
      <c r="C7">
        <v>26.4</v>
      </c>
      <c r="D7">
        <v>2.8</v>
      </c>
      <c r="E7">
        <v>3</v>
      </c>
      <c r="F7">
        <v>35.9</v>
      </c>
      <c r="G7">
        <v>33.299999999999997</v>
      </c>
      <c r="H7">
        <v>230.6</v>
      </c>
      <c r="I7">
        <v>0.4</v>
      </c>
    </row>
    <row r="8" spans="1:9" hidden="1" x14ac:dyDescent="0.45">
      <c r="A8">
        <v>7</v>
      </c>
      <c r="B8" t="s">
        <v>30</v>
      </c>
      <c r="C8">
        <v>25.4</v>
      </c>
      <c r="D8">
        <v>5.3</v>
      </c>
      <c r="E8">
        <v>1.7</v>
      </c>
      <c r="F8">
        <v>18.899999999999999</v>
      </c>
      <c r="G8">
        <v>60.3</v>
      </c>
      <c r="H8">
        <v>336.1</v>
      </c>
      <c r="I8">
        <v>0.3</v>
      </c>
    </row>
    <row r="9" spans="1:9" hidden="1" x14ac:dyDescent="0.45">
      <c r="A9">
        <v>8</v>
      </c>
      <c r="B9" t="s">
        <v>22</v>
      </c>
      <c r="C9">
        <v>25</v>
      </c>
      <c r="D9">
        <v>1.4</v>
      </c>
      <c r="E9">
        <v>1.8</v>
      </c>
      <c r="F9">
        <v>71.400000000000006</v>
      </c>
      <c r="G9">
        <v>55.5</v>
      </c>
      <c r="H9">
        <v>152.30000000000001</v>
      </c>
      <c r="I9">
        <v>0.7</v>
      </c>
    </row>
    <row r="10" spans="1:9" hidden="1" x14ac:dyDescent="0.45">
      <c r="A10">
        <v>9</v>
      </c>
      <c r="B10" t="s">
        <v>17</v>
      </c>
      <c r="C10">
        <v>23.9</v>
      </c>
      <c r="D10">
        <v>5.2</v>
      </c>
      <c r="E10">
        <v>7.6</v>
      </c>
      <c r="F10">
        <v>19.3</v>
      </c>
      <c r="G10">
        <v>13.1</v>
      </c>
      <c r="H10">
        <v>285.60000000000002</v>
      </c>
      <c r="I10">
        <v>0.4</v>
      </c>
    </row>
    <row r="11" spans="1:9" hidden="1" x14ac:dyDescent="0.45">
      <c r="A11">
        <v>10</v>
      </c>
      <c r="B11" t="s">
        <v>38</v>
      </c>
      <c r="C11">
        <v>22.2</v>
      </c>
      <c r="D11">
        <v>12.5</v>
      </c>
      <c r="E11">
        <v>9.3000000000000007</v>
      </c>
      <c r="F11">
        <v>8</v>
      </c>
      <c r="G11">
        <v>10.8</v>
      </c>
      <c r="H11">
        <v>333.4</v>
      </c>
      <c r="I11">
        <v>0.3</v>
      </c>
    </row>
    <row r="12" spans="1:9" hidden="1" x14ac:dyDescent="0.45">
      <c r="A12">
        <v>11</v>
      </c>
      <c r="B12" t="s">
        <v>25</v>
      </c>
      <c r="C12">
        <v>22.1</v>
      </c>
      <c r="D12">
        <v>2.2000000000000002</v>
      </c>
      <c r="E12">
        <v>2.4</v>
      </c>
      <c r="F12">
        <v>45.3</v>
      </c>
      <c r="G12">
        <v>41.5</v>
      </c>
      <c r="H12">
        <v>228.8</v>
      </c>
      <c r="I12">
        <v>0.4</v>
      </c>
    </row>
    <row r="13" spans="1:9" hidden="1" x14ac:dyDescent="0.45">
      <c r="A13">
        <v>12</v>
      </c>
      <c r="B13" t="s">
        <v>19</v>
      </c>
      <c r="C13">
        <v>21.4</v>
      </c>
      <c r="D13">
        <v>3.4</v>
      </c>
      <c r="E13">
        <v>3.9</v>
      </c>
      <c r="F13">
        <v>29.2</v>
      </c>
      <c r="G13">
        <v>25.7</v>
      </c>
      <c r="H13">
        <v>133.30000000000001</v>
      </c>
      <c r="I13">
        <v>0.8</v>
      </c>
    </row>
    <row r="14" spans="1:9" hidden="1" x14ac:dyDescent="0.45">
      <c r="A14">
        <v>13</v>
      </c>
      <c r="B14" t="s">
        <v>117</v>
      </c>
      <c r="C14">
        <v>21.1</v>
      </c>
      <c r="D14">
        <v>10.8</v>
      </c>
      <c r="E14">
        <v>7.8</v>
      </c>
      <c r="F14">
        <v>9.3000000000000007</v>
      </c>
      <c r="G14">
        <v>12.7</v>
      </c>
      <c r="H14">
        <v>232.1</v>
      </c>
      <c r="I14">
        <v>0.4</v>
      </c>
    </row>
    <row r="15" spans="1:9" hidden="1" x14ac:dyDescent="0.45">
      <c r="A15">
        <v>14</v>
      </c>
      <c r="B15" t="s">
        <v>31</v>
      </c>
      <c r="C15">
        <v>20.9</v>
      </c>
      <c r="D15">
        <v>2.7</v>
      </c>
      <c r="E15">
        <v>3.4</v>
      </c>
      <c r="F15">
        <v>37</v>
      </c>
      <c r="G15">
        <v>29.4</v>
      </c>
      <c r="H15">
        <v>161.5</v>
      </c>
      <c r="I15">
        <v>0.6</v>
      </c>
    </row>
    <row r="16" spans="1:9" hidden="1" x14ac:dyDescent="0.45">
      <c r="A16">
        <v>15</v>
      </c>
      <c r="B16" t="s">
        <v>23</v>
      </c>
      <c r="C16">
        <v>20.8</v>
      </c>
      <c r="D16">
        <v>5</v>
      </c>
      <c r="E16">
        <v>5.5</v>
      </c>
      <c r="F16">
        <v>19.8</v>
      </c>
      <c r="G16">
        <v>18.100000000000001</v>
      </c>
      <c r="H16">
        <v>468.1</v>
      </c>
      <c r="I16">
        <v>0.2</v>
      </c>
    </row>
    <row r="17" spans="1:9" hidden="1" x14ac:dyDescent="0.45">
      <c r="A17">
        <v>16</v>
      </c>
      <c r="B17" t="s">
        <v>18</v>
      </c>
      <c r="C17">
        <v>20.8</v>
      </c>
      <c r="D17">
        <v>3.9</v>
      </c>
      <c r="E17">
        <v>3.2</v>
      </c>
      <c r="F17">
        <v>25.4</v>
      </c>
      <c r="G17">
        <v>31.1</v>
      </c>
      <c r="H17">
        <v>179.5</v>
      </c>
      <c r="I17">
        <v>0.6</v>
      </c>
    </row>
    <row r="18" spans="1:9" hidden="1" x14ac:dyDescent="0.45">
      <c r="A18">
        <v>17</v>
      </c>
      <c r="B18" t="s">
        <v>14</v>
      </c>
      <c r="C18">
        <v>19.7</v>
      </c>
      <c r="D18">
        <v>2.6</v>
      </c>
      <c r="E18">
        <v>2.8</v>
      </c>
      <c r="F18">
        <v>38.299999999999997</v>
      </c>
      <c r="G18">
        <v>35.200000000000003</v>
      </c>
      <c r="H18">
        <v>257.39999999999998</v>
      </c>
      <c r="I18">
        <v>0.4</v>
      </c>
    </row>
    <row r="19" spans="1:9" hidden="1" x14ac:dyDescent="0.45">
      <c r="A19">
        <v>18</v>
      </c>
      <c r="B19" t="s">
        <v>40</v>
      </c>
      <c r="C19">
        <v>18.899999999999999</v>
      </c>
      <c r="D19">
        <v>6.2</v>
      </c>
      <c r="E19">
        <v>5.7</v>
      </c>
      <c r="F19">
        <v>16</v>
      </c>
      <c r="G19">
        <v>17.399999999999999</v>
      </c>
      <c r="H19">
        <v>217.4</v>
      </c>
      <c r="I19">
        <v>0.5</v>
      </c>
    </row>
    <row r="20" spans="1:9" hidden="1" x14ac:dyDescent="0.45">
      <c r="A20">
        <v>19</v>
      </c>
      <c r="B20" t="s">
        <v>20</v>
      </c>
      <c r="C20">
        <v>18.5</v>
      </c>
      <c r="D20">
        <v>3.1</v>
      </c>
      <c r="E20">
        <v>2.7</v>
      </c>
      <c r="F20">
        <v>32.299999999999997</v>
      </c>
      <c r="G20">
        <v>37.700000000000003</v>
      </c>
      <c r="H20">
        <v>198.6</v>
      </c>
      <c r="I20">
        <v>0.5</v>
      </c>
    </row>
    <row r="21" spans="1:9" hidden="1" x14ac:dyDescent="0.45">
      <c r="A21">
        <v>20</v>
      </c>
      <c r="B21" t="s">
        <v>48</v>
      </c>
      <c r="C21">
        <v>17.399999999999999</v>
      </c>
      <c r="D21">
        <v>6</v>
      </c>
      <c r="E21">
        <v>5.9</v>
      </c>
      <c r="F21">
        <v>16.8</v>
      </c>
      <c r="G21">
        <v>17</v>
      </c>
      <c r="H21">
        <v>349.3</v>
      </c>
      <c r="I21">
        <v>0.3</v>
      </c>
    </row>
    <row r="22" spans="1:9" hidden="1" x14ac:dyDescent="0.45">
      <c r="A22">
        <v>21</v>
      </c>
      <c r="B22" t="s">
        <v>52</v>
      </c>
      <c r="C22">
        <v>17.100000000000001</v>
      </c>
      <c r="D22">
        <v>5.2</v>
      </c>
      <c r="E22">
        <v>5.7</v>
      </c>
      <c r="F22">
        <v>19.3</v>
      </c>
      <c r="G22">
        <v>17.600000000000001</v>
      </c>
      <c r="H22">
        <v>267.3</v>
      </c>
      <c r="I22">
        <v>0.4</v>
      </c>
    </row>
    <row r="23" spans="1:9" hidden="1" x14ac:dyDescent="0.45">
      <c r="A23">
        <v>22</v>
      </c>
      <c r="B23" t="s">
        <v>33</v>
      </c>
      <c r="C23">
        <v>17.100000000000001</v>
      </c>
      <c r="D23">
        <v>2.8</v>
      </c>
      <c r="E23">
        <v>3.1</v>
      </c>
      <c r="F23">
        <v>35.6</v>
      </c>
      <c r="G23">
        <v>31.8</v>
      </c>
      <c r="H23">
        <v>155.30000000000001</v>
      </c>
      <c r="I23">
        <v>0.6</v>
      </c>
    </row>
    <row r="24" spans="1:9" hidden="1" x14ac:dyDescent="0.45">
      <c r="A24">
        <v>23</v>
      </c>
      <c r="B24" t="s">
        <v>118</v>
      </c>
      <c r="C24">
        <v>16.8</v>
      </c>
      <c r="D24">
        <v>8.3000000000000007</v>
      </c>
      <c r="E24">
        <v>4.0999999999999996</v>
      </c>
      <c r="F24">
        <v>12</v>
      </c>
      <c r="G24">
        <v>24.2</v>
      </c>
      <c r="H24">
        <v>287.3</v>
      </c>
      <c r="I24">
        <v>0.3</v>
      </c>
    </row>
    <row r="25" spans="1:9" hidden="1" x14ac:dyDescent="0.45">
      <c r="A25">
        <v>24</v>
      </c>
      <c r="B25" t="s">
        <v>37</v>
      </c>
      <c r="C25">
        <v>16.7</v>
      </c>
      <c r="D25">
        <v>4.2</v>
      </c>
      <c r="E25">
        <v>4.3</v>
      </c>
      <c r="F25">
        <v>23.6</v>
      </c>
      <c r="G25">
        <v>23.1</v>
      </c>
      <c r="H25">
        <v>200.6</v>
      </c>
      <c r="I25">
        <v>0.5</v>
      </c>
    </row>
    <row r="26" spans="1:9" hidden="1" x14ac:dyDescent="0.45">
      <c r="A26">
        <v>25</v>
      </c>
      <c r="B26" t="s">
        <v>47</v>
      </c>
      <c r="C26">
        <v>16.7</v>
      </c>
      <c r="D26">
        <v>6.4</v>
      </c>
      <c r="E26">
        <v>7.2</v>
      </c>
      <c r="F26">
        <v>15.6</v>
      </c>
      <c r="G26">
        <v>13.9</v>
      </c>
      <c r="H26">
        <v>234.7</v>
      </c>
      <c r="I26">
        <v>0.4</v>
      </c>
    </row>
    <row r="27" spans="1:9" hidden="1" x14ac:dyDescent="0.45">
      <c r="A27">
        <v>26</v>
      </c>
      <c r="B27" t="s">
        <v>59</v>
      </c>
      <c r="C27">
        <v>16.399999999999999</v>
      </c>
      <c r="D27">
        <v>5.5</v>
      </c>
      <c r="E27">
        <v>5.2</v>
      </c>
      <c r="F27">
        <v>18.3</v>
      </c>
      <c r="G27">
        <v>19.100000000000001</v>
      </c>
      <c r="H27">
        <v>545.5</v>
      </c>
      <c r="I27">
        <v>0.2</v>
      </c>
    </row>
    <row r="28" spans="1:9" hidden="1" x14ac:dyDescent="0.45">
      <c r="A28">
        <v>27</v>
      </c>
      <c r="B28" t="s">
        <v>26</v>
      </c>
      <c r="C28">
        <v>16.3</v>
      </c>
      <c r="D28">
        <v>6</v>
      </c>
      <c r="E28">
        <v>6.5</v>
      </c>
      <c r="F28">
        <v>16.600000000000001</v>
      </c>
      <c r="G28">
        <v>15.4</v>
      </c>
      <c r="H28">
        <v>189.8</v>
      </c>
      <c r="I28">
        <v>0.5</v>
      </c>
    </row>
    <row r="29" spans="1:9" hidden="1" x14ac:dyDescent="0.45">
      <c r="A29">
        <v>28</v>
      </c>
      <c r="B29" t="s">
        <v>39</v>
      </c>
      <c r="C29">
        <v>16.2</v>
      </c>
      <c r="D29">
        <v>4</v>
      </c>
      <c r="E29">
        <v>5.7</v>
      </c>
      <c r="F29">
        <v>25</v>
      </c>
      <c r="G29">
        <v>17.5</v>
      </c>
      <c r="H29">
        <v>143.69999999999999</v>
      </c>
      <c r="I29">
        <v>0.7</v>
      </c>
    </row>
    <row r="30" spans="1:9" hidden="1" x14ac:dyDescent="0.45">
      <c r="A30">
        <v>29</v>
      </c>
      <c r="B30" t="s">
        <v>35</v>
      </c>
      <c r="C30">
        <v>16.2</v>
      </c>
      <c r="D30">
        <v>7.7</v>
      </c>
      <c r="E30">
        <v>9</v>
      </c>
      <c r="F30">
        <v>13</v>
      </c>
      <c r="G30">
        <v>11.1</v>
      </c>
      <c r="H30">
        <v>185.7</v>
      </c>
      <c r="I30">
        <v>0.5</v>
      </c>
    </row>
    <row r="31" spans="1:9" hidden="1" x14ac:dyDescent="0.45">
      <c r="A31">
        <v>30</v>
      </c>
      <c r="B31" t="s">
        <v>51</v>
      </c>
      <c r="C31">
        <v>16.100000000000001</v>
      </c>
      <c r="D31">
        <v>4.8</v>
      </c>
      <c r="E31">
        <v>3.6</v>
      </c>
      <c r="F31">
        <v>21</v>
      </c>
      <c r="G31">
        <v>27.8</v>
      </c>
      <c r="H31">
        <v>136</v>
      </c>
      <c r="I31">
        <v>0.7</v>
      </c>
    </row>
    <row r="32" spans="1:9" hidden="1" x14ac:dyDescent="0.45">
      <c r="A32">
        <v>31</v>
      </c>
      <c r="B32" t="s">
        <v>58</v>
      </c>
      <c r="C32">
        <v>16.100000000000001</v>
      </c>
      <c r="D32">
        <v>3.1</v>
      </c>
      <c r="E32">
        <v>3.2</v>
      </c>
      <c r="F32">
        <v>32.700000000000003</v>
      </c>
      <c r="G32">
        <v>31</v>
      </c>
      <c r="H32">
        <v>170.2</v>
      </c>
      <c r="I32">
        <v>0.6</v>
      </c>
    </row>
    <row r="33" spans="1:9" hidden="1" x14ac:dyDescent="0.45">
      <c r="A33">
        <v>32</v>
      </c>
      <c r="B33" t="s">
        <v>64</v>
      </c>
      <c r="C33">
        <v>15.4</v>
      </c>
      <c r="D33">
        <v>3.5</v>
      </c>
      <c r="E33">
        <v>3.5</v>
      </c>
      <c r="F33">
        <v>28.9</v>
      </c>
      <c r="G33">
        <v>28.5</v>
      </c>
      <c r="H33">
        <v>148.1</v>
      </c>
      <c r="I33">
        <v>0.7</v>
      </c>
    </row>
    <row r="34" spans="1:9" hidden="1" x14ac:dyDescent="0.45">
      <c r="A34">
        <v>33</v>
      </c>
      <c r="B34" t="s">
        <v>11</v>
      </c>
      <c r="C34">
        <v>15.4</v>
      </c>
      <c r="D34">
        <v>12</v>
      </c>
      <c r="E34">
        <v>7.7</v>
      </c>
      <c r="F34">
        <v>8.4</v>
      </c>
      <c r="G34">
        <v>13</v>
      </c>
      <c r="H34">
        <v>175</v>
      </c>
      <c r="I34">
        <v>0.6</v>
      </c>
    </row>
    <row r="35" spans="1:9" hidden="1" x14ac:dyDescent="0.45">
      <c r="A35">
        <v>34</v>
      </c>
      <c r="B35" t="s">
        <v>62</v>
      </c>
      <c r="C35">
        <v>15.2</v>
      </c>
      <c r="D35">
        <v>6.8</v>
      </c>
      <c r="E35">
        <v>6.6</v>
      </c>
      <c r="F35">
        <v>14.8</v>
      </c>
      <c r="G35">
        <v>15.2</v>
      </c>
      <c r="H35">
        <v>208.6</v>
      </c>
      <c r="I35">
        <v>0.5</v>
      </c>
    </row>
    <row r="36" spans="1:9" hidden="1" x14ac:dyDescent="0.45">
      <c r="A36">
        <v>35</v>
      </c>
      <c r="B36" t="s">
        <v>68</v>
      </c>
      <c r="C36">
        <v>14.7</v>
      </c>
      <c r="D36">
        <v>7</v>
      </c>
      <c r="E36">
        <v>6.4</v>
      </c>
      <c r="F36">
        <v>14.2</v>
      </c>
      <c r="G36">
        <v>15.6</v>
      </c>
      <c r="H36">
        <v>167.7</v>
      </c>
      <c r="I36">
        <v>0.6</v>
      </c>
    </row>
    <row r="37" spans="1:9" hidden="1" x14ac:dyDescent="0.45">
      <c r="A37">
        <v>36</v>
      </c>
      <c r="B37" t="s">
        <v>50</v>
      </c>
      <c r="C37">
        <v>14.7</v>
      </c>
      <c r="D37">
        <v>6.8</v>
      </c>
      <c r="E37">
        <v>6.7</v>
      </c>
      <c r="F37">
        <v>14.7</v>
      </c>
      <c r="G37">
        <v>14.8</v>
      </c>
      <c r="H37">
        <v>277.5</v>
      </c>
      <c r="I37">
        <v>0.4</v>
      </c>
    </row>
    <row r="38" spans="1:9" hidden="1" x14ac:dyDescent="0.45">
      <c r="A38">
        <v>37</v>
      </c>
      <c r="B38" t="s">
        <v>42</v>
      </c>
      <c r="C38">
        <v>14.6</v>
      </c>
      <c r="D38">
        <v>6.9</v>
      </c>
      <c r="E38">
        <v>6.5</v>
      </c>
      <c r="F38">
        <v>14.6</v>
      </c>
      <c r="G38">
        <v>15.5</v>
      </c>
      <c r="H38">
        <v>210</v>
      </c>
      <c r="I38">
        <v>0.5</v>
      </c>
    </row>
    <row r="39" spans="1:9" hidden="1" x14ac:dyDescent="0.45">
      <c r="A39">
        <v>38</v>
      </c>
      <c r="B39" t="s">
        <v>36</v>
      </c>
      <c r="C39">
        <v>14.6</v>
      </c>
      <c r="D39">
        <v>3.5</v>
      </c>
      <c r="E39">
        <v>5.3</v>
      </c>
      <c r="F39">
        <v>28.6</v>
      </c>
      <c r="G39">
        <v>18.8</v>
      </c>
      <c r="H39">
        <v>138.4</v>
      </c>
      <c r="I39">
        <v>0.7</v>
      </c>
    </row>
    <row r="40" spans="1:9" hidden="1" x14ac:dyDescent="0.45">
      <c r="A40">
        <v>39</v>
      </c>
      <c r="B40" t="s">
        <v>28</v>
      </c>
      <c r="C40">
        <v>14.4</v>
      </c>
      <c r="D40">
        <v>6.1</v>
      </c>
      <c r="E40">
        <v>5.5</v>
      </c>
      <c r="F40">
        <v>16.5</v>
      </c>
      <c r="G40">
        <v>18.100000000000001</v>
      </c>
      <c r="H40">
        <v>188.6</v>
      </c>
      <c r="I40">
        <v>0.5</v>
      </c>
    </row>
    <row r="41" spans="1:9" hidden="1" x14ac:dyDescent="0.45">
      <c r="A41">
        <v>40</v>
      </c>
      <c r="B41" t="s">
        <v>43</v>
      </c>
      <c r="C41">
        <v>14.3</v>
      </c>
      <c r="D41">
        <v>3</v>
      </c>
      <c r="E41">
        <v>3.5</v>
      </c>
      <c r="F41">
        <v>33</v>
      </c>
      <c r="G41">
        <v>28.3</v>
      </c>
      <c r="H41">
        <v>218.2</v>
      </c>
      <c r="I41">
        <v>0.5</v>
      </c>
    </row>
    <row r="42" spans="1:9" hidden="1" x14ac:dyDescent="0.45">
      <c r="A42">
        <v>41</v>
      </c>
      <c r="B42" t="s">
        <v>13</v>
      </c>
      <c r="C42">
        <v>14.3</v>
      </c>
      <c r="D42">
        <v>7.9</v>
      </c>
      <c r="E42">
        <v>3.7</v>
      </c>
      <c r="F42">
        <v>12.7</v>
      </c>
      <c r="G42">
        <v>27</v>
      </c>
      <c r="H42">
        <v>226.1</v>
      </c>
      <c r="I42">
        <v>0.4</v>
      </c>
    </row>
    <row r="43" spans="1:9" hidden="1" x14ac:dyDescent="0.45">
      <c r="A43">
        <v>42</v>
      </c>
      <c r="B43" t="s">
        <v>119</v>
      </c>
      <c r="C43">
        <v>14.1</v>
      </c>
      <c r="D43">
        <v>6.5</v>
      </c>
      <c r="E43">
        <v>4.9000000000000004</v>
      </c>
      <c r="F43">
        <v>15.3</v>
      </c>
      <c r="G43">
        <v>20.5</v>
      </c>
      <c r="H43">
        <v>406</v>
      </c>
      <c r="I43">
        <v>0.2</v>
      </c>
    </row>
    <row r="44" spans="1:9" hidden="1" x14ac:dyDescent="0.45">
      <c r="A44">
        <v>43</v>
      </c>
      <c r="B44" t="s">
        <v>24</v>
      </c>
      <c r="C44">
        <v>13.4</v>
      </c>
      <c r="D44">
        <v>6.5</v>
      </c>
      <c r="E44">
        <v>5.3</v>
      </c>
      <c r="F44">
        <v>15.3</v>
      </c>
      <c r="G44">
        <v>18.8</v>
      </c>
      <c r="H44">
        <v>197.4</v>
      </c>
      <c r="I44">
        <v>0.5</v>
      </c>
    </row>
    <row r="45" spans="1:9" hidden="1" x14ac:dyDescent="0.45">
      <c r="A45">
        <v>44</v>
      </c>
      <c r="B45" t="s">
        <v>63</v>
      </c>
      <c r="C45">
        <v>12.9</v>
      </c>
      <c r="D45">
        <v>4.0999999999999996</v>
      </c>
      <c r="E45">
        <v>4.0999999999999996</v>
      </c>
      <c r="F45">
        <v>24.3</v>
      </c>
      <c r="G45">
        <v>24.4</v>
      </c>
      <c r="H45">
        <v>87.5</v>
      </c>
      <c r="I45">
        <v>1.1000000000000001</v>
      </c>
    </row>
    <row r="46" spans="1:9" hidden="1" x14ac:dyDescent="0.45">
      <c r="A46">
        <v>45</v>
      </c>
      <c r="B46" t="s">
        <v>82</v>
      </c>
      <c r="C46">
        <v>12.7</v>
      </c>
      <c r="D46">
        <v>5.9</v>
      </c>
      <c r="E46">
        <v>5.6</v>
      </c>
      <c r="F46">
        <v>17.100000000000001</v>
      </c>
      <c r="G46">
        <v>18</v>
      </c>
      <c r="H46">
        <v>186.7</v>
      </c>
      <c r="I46">
        <v>0.5</v>
      </c>
    </row>
    <row r="47" spans="1:9" hidden="1" x14ac:dyDescent="0.45">
      <c r="A47">
        <v>46</v>
      </c>
      <c r="B47" t="s">
        <v>53</v>
      </c>
      <c r="C47">
        <v>12.5</v>
      </c>
      <c r="D47">
        <v>3.2</v>
      </c>
      <c r="E47">
        <v>3.1</v>
      </c>
      <c r="F47">
        <v>31.7</v>
      </c>
      <c r="G47">
        <v>32.299999999999997</v>
      </c>
      <c r="H47">
        <v>123.7</v>
      </c>
      <c r="I47">
        <v>0.8</v>
      </c>
    </row>
    <row r="48" spans="1:9" hidden="1" x14ac:dyDescent="0.45">
      <c r="A48">
        <v>47</v>
      </c>
      <c r="B48" t="s">
        <v>60</v>
      </c>
      <c r="C48">
        <v>12.5</v>
      </c>
      <c r="D48">
        <v>3.1</v>
      </c>
      <c r="E48">
        <v>3.4</v>
      </c>
      <c r="F48">
        <v>32.5</v>
      </c>
      <c r="G48">
        <v>29.2</v>
      </c>
      <c r="H48">
        <v>110</v>
      </c>
      <c r="I48">
        <v>0.9</v>
      </c>
    </row>
    <row r="49" spans="1:9" hidden="1" x14ac:dyDescent="0.45">
      <c r="A49">
        <v>48</v>
      </c>
      <c r="B49" t="s">
        <v>120</v>
      </c>
      <c r="C49">
        <v>12.4</v>
      </c>
      <c r="D49">
        <v>8.4</v>
      </c>
      <c r="E49">
        <v>2</v>
      </c>
      <c r="F49">
        <v>12</v>
      </c>
      <c r="G49">
        <v>50.4</v>
      </c>
      <c r="H49">
        <v>159.1</v>
      </c>
      <c r="I49">
        <v>0.6</v>
      </c>
    </row>
    <row r="50" spans="1:9" hidden="1" x14ac:dyDescent="0.45">
      <c r="A50">
        <v>49</v>
      </c>
      <c r="B50" t="s">
        <v>89</v>
      </c>
      <c r="C50">
        <v>12.2</v>
      </c>
      <c r="D50">
        <v>3.9</v>
      </c>
      <c r="E50">
        <v>4.5999999999999996</v>
      </c>
      <c r="F50">
        <v>25.9</v>
      </c>
      <c r="G50">
        <v>21.6</v>
      </c>
      <c r="H50">
        <v>83.5</v>
      </c>
      <c r="I50">
        <v>1.2</v>
      </c>
    </row>
    <row r="51" spans="1:9" hidden="1" x14ac:dyDescent="0.45">
      <c r="A51">
        <v>50</v>
      </c>
      <c r="B51" t="s">
        <v>78</v>
      </c>
      <c r="C51">
        <v>11.8</v>
      </c>
      <c r="D51">
        <v>4.8</v>
      </c>
      <c r="E51">
        <v>4.8</v>
      </c>
      <c r="F51">
        <v>20.8</v>
      </c>
      <c r="G51">
        <v>20.7</v>
      </c>
      <c r="H51">
        <v>109</v>
      </c>
      <c r="I51">
        <v>0.9</v>
      </c>
    </row>
    <row r="52" spans="1:9" hidden="1" x14ac:dyDescent="0.45">
      <c r="A52">
        <v>51</v>
      </c>
      <c r="B52" t="s">
        <v>83</v>
      </c>
      <c r="C52">
        <v>11.7</v>
      </c>
      <c r="D52">
        <v>2.8</v>
      </c>
      <c r="E52">
        <v>3.6</v>
      </c>
      <c r="F52">
        <v>35.5</v>
      </c>
      <c r="G52">
        <v>28.1</v>
      </c>
      <c r="H52">
        <v>94.1</v>
      </c>
      <c r="I52">
        <v>1.1000000000000001</v>
      </c>
    </row>
    <row r="53" spans="1:9" hidden="1" x14ac:dyDescent="0.45">
      <c r="A53">
        <v>52</v>
      </c>
      <c r="B53" t="s">
        <v>71</v>
      </c>
      <c r="C53">
        <v>11.6</v>
      </c>
      <c r="D53">
        <v>4.2</v>
      </c>
      <c r="E53">
        <v>4.4000000000000004</v>
      </c>
      <c r="F53">
        <v>23.8</v>
      </c>
      <c r="G53">
        <v>23</v>
      </c>
      <c r="H53">
        <v>78.099999999999994</v>
      </c>
      <c r="I53">
        <v>1.3</v>
      </c>
    </row>
    <row r="54" spans="1:9" hidden="1" x14ac:dyDescent="0.45">
      <c r="A54">
        <v>53</v>
      </c>
      <c r="B54" t="s">
        <v>29</v>
      </c>
      <c r="C54">
        <v>11.6</v>
      </c>
      <c r="D54">
        <v>3.6</v>
      </c>
      <c r="E54">
        <v>3.8</v>
      </c>
      <c r="F54">
        <v>27.6</v>
      </c>
      <c r="G54">
        <v>26.6</v>
      </c>
      <c r="H54">
        <v>231.7</v>
      </c>
      <c r="I54">
        <v>0.4</v>
      </c>
    </row>
    <row r="55" spans="1:9" hidden="1" x14ac:dyDescent="0.45">
      <c r="A55">
        <v>54</v>
      </c>
      <c r="B55" t="s">
        <v>32</v>
      </c>
      <c r="C55">
        <v>11.5</v>
      </c>
      <c r="D55">
        <v>6</v>
      </c>
      <c r="E55">
        <v>7.8</v>
      </c>
      <c r="F55">
        <v>16.7</v>
      </c>
      <c r="G55">
        <v>12.8</v>
      </c>
      <c r="H55">
        <v>171.9</v>
      </c>
      <c r="I55">
        <v>0.6</v>
      </c>
    </row>
    <row r="56" spans="1:9" hidden="1" x14ac:dyDescent="0.45">
      <c r="A56">
        <v>55</v>
      </c>
      <c r="B56" t="s">
        <v>27</v>
      </c>
      <c r="C56">
        <v>11.3</v>
      </c>
      <c r="D56">
        <v>7.5</v>
      </c>
      <c r="E56">
        <v>7.9</v>
      </c>
      <c r="F56">
        <v>13.3</v>
      </c>
      <c r="G56">
        <v>12.6</v>
      </c>
      <c r="H56">
        <v>132.30000000000001</v>
      </c>
      <c r="I56">
        <v>0.8</v>
      </c>
    </row>
    <row r="57" spans="1:9" hidden="1" x14ac:dyDescent="0.45">
      <c r="A57">
        <v>56</v>
      </c>
      <c r="B57" t="s">
        <v>54</v>
      </c>
      <c r="C57">
        <v>11.2</v>
      </c>
      <c r="D57">
        <v>5.6</v>
      </c>
      <c r="E57">
        <v>5.9</v>
      </c>
      <c r="F57">
        <v>17.899999999999999</v>
      </c>
      <c r="G57">
        <v>16.899999999999999</v>
      </c>
      <c r="H57">
        <v>108.5</v>
      </c>
      <c r="I57">
        <v>0.9</v>
      </c>
    </row>
    <row r="58" spans="1:9" hidden="1" x14ac:dyDescent="0.45">
      <c r="A58">
        <v>57</v>
      </c>
      <c r="B58" t="s">
        <v>21</v>
      </c>
      <c r="C58">
        <v>11</v>
      </c>
      <c r="D58">
        <v>3.3</v>
      </c>
      <c r="E58">
        <v>3.8</v>
      </c>
      <c r="F58">
        <v>29.9</v>
      </c>
      <c r="G58">
        <v>26.6</v>
      </c>
      <c r="H58">
        <v>83.3</v>
      </c>
      <c r="I58">
        <v>1.2</v>
      </c>
    </row>
    <row r="59" spans="1:9" hidden="1" x14ac:dyDescent="0.45">
      <c r="A59">
        <v>58</v>
      </c>
      <c r="B59" t="s">
        <v>61</v>
      </c>
      <c r="C59">
        <v>10.9</v>
      </c>
      <c r="D59">
        <v>3.7</v>
      </c>
      <c r="E59">
        <v>4.3</v>
      </c>
      <c r="F59">
        <v>26.8</v>
      </c>
      <c r="G59">
        <v>23.3</v>
      </c>
      <c r="H59">
        <v>194</v>
      </c>
      <c r="I59">
        <v>0.5</v>
      </c>
    </row>
    <row r="60" spans="1:9" hidden="1" x14ac:dyDescent="0.45">
      <c r="A60">
        <v>59</v>
      </c>
      <c r="B60" t="s">
        <v>65</v>
      </c>
      <c r="C60">
        <v>10.8</v>
      </c>
      <c r="D60">
        <v>5.9</v>
      </c>
      <c r="E60">
        <v>5.9</v>
      </c>
      <c r="F60">
        <v>16.899999999999999</v>
      </c>
      <c r="G60">
        <v>17.100000000000001</v>
      </c>
      <c r="H60">
        <v>109.3</v>
      </c>
      <c r="I60">
        <v>0.9</v>
      </c>
    </row>
    <row r="61" spans="1:9" hidden="1" x14ac:dyDescent="0.45">
      <c r="A61">
        <v>60</v>
      </c>
      <c r="B61" t="s">
        <v>34</v>
      </c>
      <c r="C61">
        <v>10.8</v>
      </c>
      <c r="D61">
        <v>4.4000000000000004</v>
      </c>
      <c r="E61">
        <v>5.3</v>
      </c>
      <c r="F61">
        <v>22.7</v>
      </c>
      <c r="G61">
        <v>18.7</v>
      </c>
      <c r="H61">
        <v>87.7</v>
      </c>
      <c r="I61">
        <v>1.1000000000000001</v>
      </c>
    </row>
    <row r="62" spans="1:9" hidden="1" x14ac:dyDescent="0.45">
      <c r="A62">
        <v>61</v>
      </c>
      <c r="B62" t="s">
        <v>73</v>
      </c>
      <c r="C62">
        <v>10.8</v>
      </c>
      <c r="D62">
        <v>11.6</v>
      </c>
      <c r="E62">
        <v>7</v>
      </c>
      <c r="F62">
        <v>8.6999999999999993</v>
      </c>
      <c r="G62">
        <v>14.3</v>
      </c>
      <c r="H62">
        <v>88.8</v>
      </c>
      <c r="I62">
        <v>1.1000000000000001</v>
      </c>
    </row>
    <row r="63" spans="1:9" hidden="1" x14ac:dyDescent="0.45">
      <c r="A63">
        <v>62</v>
      </c>
      <c r="B63" t="s">
        <v>121</v>
      </c>
      <c r="C63">
        <v>10.7</v>
      </c>
      <c r="D63">
        <v>10.7</v>
      </c>
      <c r="E63">
        <v>3.4</v>
      </c>
      <c r="F63">
        <v>9.3000000000000007</v>
      </c>
      <c r="G63">
        <v>29.2</v>
      </c>
      <c r="H63">
        <v>205.2</v>
      </c>
      <c r="I63">
        <v>0.5</v>
      </c>
    </row>
    <row r="64" spans="1:9" hidden="1" x14ac:dyDescent="0.45">
      <c r="A64">
        <v>63</v>
      </c>
      <c r="B64" t="s">
        <v>46</v>
      </c>
      <c r="C64">
        <v>10.7</v>
      </c>
      <c r="D64">
        <v>3.4</v>
      </c>
      <c r="E64">
        <v>3.8</v>
      </c>
      <c r="F64">
        <v>29.8</v>
      </c>
      <c r="G64">
        <v>26.1</v>
      </c>
      <c r="H64">
        <v>68.900000000000006</v>
      </c>
      <c r="I64">
        <v>1.5</v>
      </c>
    </row>
    <row r="65" spans="1:9" hidden="1" x14ac:dyDescent="0.45">
      <c r="A65">
        <v>64</v>
      </c>
      <c r="B65" t="s">
        <v>105</v>
      </c>
      <c r="C65">
        <v>10.6</v>
      </c>
      <c r="D65">
        <v>3</v>
      </c>
      <c r="E65">
        <v>3.2</v>
      </c>
      <c r="F65">
        <v>33.200000000000003</v>
      </c>
      <c r="G65">
        <v>30.8</v>
      </c>
      <c r="H65">
        <v>84.1</v>
      </c>
      <c r="I65">
        <v>1.2</v>
      </c>
    </row>
    <row r="66" spans="1:9" hidden="1" x14ac:dyDescent="0.45">
      <c r="A66">
        <v>65</v>
      </c>
      <c r="B66" t="s">
        <v>55</v>
      </c>
      <c r="C66">
        <v>10.6</v>
      </c>
      <c r="D66">
        <v>3.6</v>
      </c>
      <c r="E66">
        <v>3.8</v>
      </c>
      <c r="F66">
        <v>27.6</v>
      </c>
      <c r="G66">
        <v>26.4</v>
      </c>
      <c r="H66">
        <v>79.599999999999994</v>
      </c>
      <c r="I66">
        <v>1.3</v>
      </c>
    </row>
    <row r="67" spans="1:9" hidden="1" x14ac:dyDescent="0.45">
      <c r="A67">
        <v>66</v>
      </c>
      <c r="B67" t="s">
        <v>49</v>
      </c>
      <c r="C67">
        <v>10.6</v>
      </c>
      <c r="D67">
        <v>4</v>
      </c>
      <c r="E67">
        <v>4.7</v>
      </c>
      <c r="F67">
        <v>25.2</v>
      </c>
      <c r="G67">
        <v>21.1</v>
      </c>
      <c r="H67">
        <v>71.400000000000006</v>
      </c>
      <c r="I67">
        <v>1.4</v>
      </c>
    </row>
    <row r="68" spans="1:9" hidden="1" x14ac:dyDescent="0.45">
      <c r="A68">
        <v>67</v>
      </c>
      <c r="B68" t="s">
        <v>74</v>
      </c>
      <c r="C68">
        <v>10.6</v>
      </c>
      <c r="D68">
        <v>4.4000000000000004</v>
      </c>
      <c r="E68">
        <v>4.5999999999999996</v>
      </c>
      <c r="F68">
        <v>22.6</v>
      </c>
      <c r="G68">
        <v>21.5</v>
      </c>
      <c r="H68">
        <v>83.1</v>
      </c>
      <c r="I68">
        <v>1.2</v>
      </c>
    </row>
    <row r="69" spans="1:9" hidden="1" x14ac:dyDescent="0.45">
      <c r="A69">
        <v>68</v>
      </c>
      <c r="B69" t="s">
        <v>67</v>
      </c>
      <c r="C69">
        <v>10.3</v>
      </c>
      <c r="D69">
        <v>6.2</v>
      </c>
      <c r="E69">
        <v>5.4</v>
      </c>
      <c r="F69">
        <v>16.3</v>
      </c>
      <c r="G69">
        <v>18.5</v>
      </c>
      <c r="H69">
        <v>94.5</v>
      </c>
      <c r="I69">
        <v>1.1000000000000001</v>
      </c>
    </row>
    <row r="70" spans="1:9" hidden="1" x14ac:dyDescent="0.45">
      <c r="A70">
        <v>69</v>
      </c>
      <c r="B70" t="s">
        <v>76</v>
      </c>
      <c r="C70">
        <v>10.1</v>
      </c>
      <c r="D70">
        <v>3.3</v>
      </c>
      <c r="E70">
        <v>3.9</v>
      </c>
      <c r="F70">
        <v>30.3</v>
      </c>
      <c r="G70">
        <v>25.6</v>
      </c>
      <c r="H70">
        <v>124.4</v>
      </c>
      <c r="I70">
        <v>0.8</v>
      </c>
    </row>
    <row r="71" spans="1:9" hidden="1" x14ac:dyDescent="0.45">
      <c r="A71">
        <v>70</v>
      </c>
      <c r="B71" t="s">
        <v>122</v>
      </c>
      <c r="C71">
        <v>10</v>
      </c>
      <c r="D71">
        <v>18.399999999999999</v>
      </c>
      <c r="E71">
        <v>3.4</v>
      </c>
      <c r="F71">
        <v>5.4</v>
      </c>
      <c r="G71">
        <v>29.4</v>
      </c>
      <c r="H71">
        <v>95.5</v>
      </c>
      <c r="I71">
        <v>1</v>
      </c>
    </row>
    <row r="72" spans="1:9" hidden="1" x14ac:dyDescent="0.45">
      <c r="A72">
        <v>71</v>
      </c>
      <c r="B72" t="s">
        <v>123</v>
      </c>
      <c r="C72">
        <v>10</v>
      </c>
      <c r="D72">
        <v>8.1999999999999993</v>
      </c>
      <c r="E72">
        <v>7.8</v>
      </c>
      <c r="F72">
        <v>12.1</v>
      </c>
      <c r="G72">
        <v>12.8</v>
      </c>
      <c r="H72">
        <v>153.6</v>
      </c>
      <c r="I72">
        <v>0.7</v>
      </c>
    </row>
    <row r="73" spans="1:9" hidden="1" x14ac:dyDescent="0.45">
      <c r="A73">
        <v>72</v>
      </c>
      <c r="B73" t="s">
        <v>80</v>
      </c>
      <c r="C73">
        <v>9.6999999999999993</v>
      </c>
      <c r="D73">
        <v>3.2</v>
      </c>
      <c r="E73">
        <v>3.9</v>
      </c>
      <c r="F73">
        <v>31.4</v>
      </c>
      <c r="G73">
        <v>25.5</v>
      </c>
      <c r="H73">
        <v>66.7</v>
      </c>
      <c r="I73">
        <v>1.5</v>
      </c>
    </row>
    <row r="74" spans="1:9" hidden="1" x14ac:dyDescent="0.45">
      <c r="A74">
        <v>73</v>
      </c>
      <c r="B74" t="s">
        <v>57</v>
      </c>
      <c r="C74">
        <v>9.6999999999999993</v>
      </c>
      <c r="D74">
        <v>3.6</v>
      </c>
      <c r="E74">
        <v>3.5</v>
      </c>
      <c r="F74">
        <v>28</v>
      </c>
      <c r="G74">
        <v>28.2</v>
      </c>
      <c r="H74">
        <v>75.3</v>
      </c>
      <c r="I74">
        <v>1.3</v>
      </c>
    </row>
    <row r="75" spans="1:9" hidden="1" x14ac:dyDescent="0.45">
      <c r="A75">
        <v>74</v>
      </c>
      <c r="B75" t="s">
        <v>70</v>
      </c>
      <c r="C75">
        <v>9.6</v>
      </c>
      <c r="D75">
        <v>2.9</v>
      </c>
      <c r="E75">
        <v>3.7</v>
      </c>
      <c r="F75">
        <v>33.9</v>
      </c>
      <c r="G75">
        <v>27.3</v>
      </c>
      <c r="H75">
        <v>64.3</v>
      </c>
      <c r="I75">
        <v>1.6</v>
      </c>
    </row>
    <row r="76" spans="1:9" hidden="1" x14ac:dyDescent="0.45">
      <c r="A76">
        <v>75</v>
      </c>
      <c r="B76" t="s">
        <v>90</v>
      </c>
      <c r="C76">
        <v>9.6</v>
      </c>
      <c r="D76">
        <v>3.9</v>
      </c>
      <c r="E76">
        <v>4.5</v>
      </c>
      <c r="F76">
        <v>25.3</v>
      </c>
      <c r="G76">
        <v>22.3</v>
      </c>
      <c r="H76">
        <v>66.400000000000006</v>
      </c>
      <c r="I76">
        <v>1.5</v>
      </c>
    </row>
    <row r="77" spans="1:9" hidden="1" x14ac:dyDescent="0.45">
      <c r="A77">
        <v>76</v>
      </c>
      <c r="B77" t="s">
        <v>84</v>
      </c>
      <c r="C77">
        <v>9.4</v>
      </c>
      <c r="D77">
        <v>5.5</v>
      </c>
      <c r="E77">
        <v>6</v>
      </c>
      <c r="F77">
        <v>18.100000000000001</v>
      </c>
      <c r="G77">
        <v>16.7</v>
      </c>
      <c r="H77">
        <v>93</v>
      </c>
      <c r="I77">
        <v>1.1000000000000001</v>
      </c>
    </row>
    <row r="78" spans="1:9" hidden="1" x14ac:dyDescent="0.45">
      <c r="A78">
        <v>77</v>
      </c>
      <c r="B78" t="s">
        <v>124</v>
      </c>
      <c r="C78">
        <v>9.3000000000000007</v>
      </c>
      <c r="D78">
        <v>7.2</v>
      </c>
      <c r="E78">
        <v>7.5</v>
      </c>
      <c r="F78">
        <v>14</v>
      </c>
      <c r="G78">
        <v>13.2</v>
      </c>
      <c r="H78">
        <v>101.7</v>
      </c>
      <c r="I78">
        <v>1</v>
      </c>
    </row>
    <row r="79" spans="1:9" hidden="1" x14ac:dyDescent="0.45">
      <c r="A79">
        <v>78</v>
      </c>
      <c r="B79" t="s">
        <v>96</v>
      </c>
      <c r="C79">
        <v>9.1999999999999993</v>
      </c>
      <c r="D79">
        <v>2.8</v>
      </c>
      <c r="E79">
        <v>3.2</v>
      </c>
      <c r="F79">
        <v>35.5</v>
      </c>
      <c r="G79">
        <v>31.5</v>
      </c>
      <c r="H79">
        <v>61.9</v>
      </c>
      <c r="I79">
        <v>1.6</v>
      </c>
    </row>
    <row r="80" spans="1:9" hidden="1" x14ac:dyDescent="0.45">
      <c r="A80">
        <v>79</v>
      </c>
      <c r="B80" t="s">
        <v>66</v>
      </c>
      <c r="C80">
        <v>9.1999999999999993</v>
      </c>
      <c r="D80">
        <v>3.6</v>
      </c>
      <c r="E80">
        <v>3.3</v>
      </c>
      <c r="F80">
        <v>27.9</v>
      </c>
      <c r="G80">
        <v>30.1</v>
      </c>
      <c r="H80">
        <v>55.8</v>
      </c>
      <c r="I80">
        <v>1.8</v>
      </c>
    </row>
    <row r="81" spans="1:9" hidden="1" x14ac:dyDescent="0.45">
      <c r="A81">
        <v>80</v>
      </c>
      <c r="B81" t="s">
        <v>91</v>
      </c>
      <c r="C81">
        <v>8.9</v>
      </c>
      <c r="D81">
        <v>8.4</v>
      </c>
      <c r="E81">
        <v>9.6999999999999993</v>
      </c>
      <c r="F81">
        <v>11.9</v>
      </c>
      <c r="G81">
        <v>10.3</v>
      </c>
      <c r="H81">
        <v>93.2</v>
      </c>
      <c r="I81">
        <v>1.1000000000000001</v>
      </c>
    </row>
    <row r="82" spans="1:9" hidden="1" x14ac:dyDescent="0.45">
      <c r="A82">
        <v>81</v>
      </c>
      <c r="B82" t="s">
        <v>86</v>
      </c>
      <c r="C82">
        <v>8.6</v>
      </c>
      <c r="D82">
        <v>4.0999999999999996</v>
      </c>
      <c r="E82">
        <v>4.5999999999999996</v>
      </c>
      <c r="F82">
        <v>24.3</v>
      </c>
      <c r="G82">
        <v>21.8</v>
      </c>
      <c r="H82">
        <v>63.4</v>
      </c>
      <c r="I82">
        <v>1.6</v>
      </c>
    </row>
    <row r="83" spans="1:9" hidden="1" x14ac:dyDescent="0.45">
      <c r="A83">
        <v>82</v>
      </c>
      <c r="B83" t="s">
        <v>56</v>
      </c>
      <c r="C83">
        <v>8.6</v>
      </c>
      <c r="D83">
        <v>4.7</v>
      </c>
      <c r="E83">
        <v>5.0999999999999996</v>
      </c>
      <c r="F83">
        <v>21.5</v>
      </c>
      <c r="G83">
        <v>19.600000000000001</v>
      </c>
      <c r="H83">
        <v>84</v>
      </c>
      <c r="I83">
        <v>1.2</v>
      </c>
    </row>
    <row r="84" spans="1:9" hidden="1" x14ac:dyDescent="0.45">
      <c r="A84">
        <v>83</v>
      </c>
      <c r="B84" t="s">
        <v>101</v>
      </c>
      <c r="C84">
        <v>8.6</v>
      </c>
      <c r="D84">
        <v>6.9</v>
      </c>
      <c r="E84">
        <v>7.4</v>
      </c>
      <c r="F84">
        <v>14.5</v>
      </c>
      <c r="G84">
        <v>13.5</v>
      </c>
      <c r="H84">
        <v>87.5</v>
      </c>
      <c r="I84">
        <v>1.1000000000000001</v>
      </c>
    </row>
    <row r="85" spans="1:9" hidden="1" x14ac:dyDescent="0.45">
      <c r="A85">
        <v>84</v>
      </c>
      <c r="B85" t="s">
        <v>44</v>
      </c>
      <c r="C85">
        <v>8.6</v>
      </c>
      <c r="D85">
        <v>6.2</v>
      </c>
      <c r="E85">
        <v>6.6</v>
      </c>
      <c r="F85">
        <v>16</v>
      </c>
      <c r="G85">
        <v>15.1</v>
      </c>
      <c r="H85">
        <v>61.1</v>
      </c>
      <c r="I85">
        <v>1.6</v>
      </c>
    </row>
    <row r="86" spans="1:9" hidden="1" x14ac:dyDescent="0.45">
      <c r="A86">
        <v>85</v>
      </c>
      <c r="B86" t="s">
        <v>87</v>
      </c>
      <c r="C86">
        <v>8.4</v>
      </c>
      <c r="D86">
        <v>4.5999999999999996</v>
      </c>
      <c r="E86">
        <v>4.2</v>
      </c>
      <c r="F86">
        <v>21.7</v>
      </c>
      <c r="G86">
        <v>23.6</v>
      </c>
      <c r="H86">
        <v>64.8</v>
      </c>
      <c r="I86">
        <v>1.5</v>
      </c>
    </row>
    <row r="87" spans="1:9" hidden="1" x14ac:dyDescent="0.45">
      <c r="A87">
        <v>86</v>
      </c>
      <c r="B87" t="s">
        <v>41</v>
      </c>
      <c r="C87">
        <v>8.3000000000000007</v>
      </c>
      <c r="D87">
        <v>5.7</v>
      </c>
      <c r="E87">
        <v>6.4</v>
      </c>
      <c r="F87">
        <v>17.600000000000001</v>
      </c>
      <c r="G87">
        <v>15.6</v>
      </c>
      <c r="H87">
        <v>61.9</v>
      </c>
      <c r="I87">
        <v>1.6</v>
      </c>
    </row>
    <row r="88" spans="1:9" hidden="1" x14ac:dyDescent="0.45">
      <c r="A88">
        <v>87</v>
      </c>
      <c r="B88" t="s">
        <v>88</v>
      </c>
      <c r="C88">
        <v>8.3000000000000007</v>
      </c>
      <c r="D88">
        <v>5.3</v>
      </c>
      <c r="E88">
        <v>4.8</v>
      </c>
      <c r="F88">
        <v>19</v>
      </c>
      <c r="G88">
        <v>20.8</v>
      </c>
      <c r="H88">
        <v>50.4</v>
      </c>
      <c r="I88">
        <v>2</v>
      </c>
    </row>
    <row r="89" spans="1:9" hidden="1" x14ac:dyDescent="0.45">
      <c r="A89">
        <v>88</v>
      </c>
      <c r="B89" t="s">
        <v>125</v>
      </c>
      <c r="C89">
        <v>7.9</v>
      </c>
      <c r="D89">
        <v>9.3000000000000007</v>
      </c>
      <c r="E89">
        <v>10.8</v>
      </c>
      <c r="F89">
        <v>10.7</v>
      </c>
      <c r="G89">
        <v>9.1999999999999993</v>
      </c>
      <c r="H89">
        <v>69.400000000000006</v>
      </c>
      <c r="I89">
        <v>1.4</v>
      </c>
    </row>
    <row r="90" spans="1:9" hidden="1" x14ac:dyDescent="0.45">
      <c r="A90">
        <v>89</v>
      </c>
      <c r="B90" t="s">
        <v>92</v>
      </c>
      <c r="C90">
        <v>7.7</v>
      </c>
      <c r="D90">
        <v>4.5999999999999996</v>
      </c>
      <c r="E90">
        <v>4.9000000000000004</v>
      </c>
      <c r="F90">
        <v>21.6</v>
      </c>
      <c r="G90">
        <v>20.5</v>
      </c>
      <c r="H90">
        <v>54.7</v>
      </c>
      <c r="I90">
        <v>1.8</v>
      </c>
    </row>
    <row r="91" spans="1:9" hidden="1" x14ac:dyDescent="0.45">
      <c r="A91">
        <v>90</v>
      </c>
      <c r="B91" t="s">
        <v>93</v>
      </c>
      <c r="C91">
        <v>7.4</v>
      </c>
      <c r="D91">
        <v>4.3</v>
      </c>
      <c r="E91">
        <v>4.3</v>
      </c>
      <c r="F91">
        <v>23.4</v>
      </c>
      <c r="G91">
        <v>23.4</v>
      </c>
      <c r="H91">
        <v>64</v>
      </c>
      <c r="I91">
        <v>1.6</v>
      </c>
    </row>
    <row r="92" spans="1:9" hidden="1" x14ac:dyDescent="0.45">
      <c r="A92">
        <v>91</v>
      </c>
      <c r="B92" t="s">
        <v>75</v>
      </c>
      <c r="C92">
        <v>7.3</v>
      </c>
      <c r="D92">
        <v>3.5</v>
      </c>
      <c r="E92">
        <v>3.6</v>
      </c>
      <c r="F92">
        <v>28.8</v>
      </c>
      <c r="G92">
        <v>28.1</v>
      </c>
      <c r="H92">
        <v>44</v>
      </c>
      <c r="I92">
        <v>2.2999999999999998</v>
      </c>
    </row>
    <row r="93" spans="1:9" hidden="1" x14ac:dyDescent="0.45">
      <c r="A93">
        <v>92</v>
      </c>
      <c r="B93" t="s">
        <v>72</v>
      </c>
      <c r="C93">
        <v>7.2</v>
      </c>
      <c r="D93">
        <v>4.7</v>
      </c>
      <c r="E93">
        <v>5.2</v>
      </c>
      <c r="F93">
        <v>21.1</v>
      </c>
      <c r="G93">
        <v>19.399999999999999</v>
      </c>
      <c r="H93">
        <v>49.8</v>
      </c>
      <c r="I93">
        <v>2</v>
      </c>
    </row>
    <row r="94" spans="1:9" hidden="1" x14ac:dyDescent="0.45">
      <c r="A94">
        <v>93</v>
      </c>
      <c r="B94" t="s">
        <v>94</v>
      </c>
      <c r="C94">
        <v>7.1</v>
      </c>
      <c r="D94">
        <v>5</v>
      </c>
      <c r="E94">
        <v>5.4</v>
      </c>
      <c r="F94">
        <v>19.899999999999999</v>
      </c>
      <c r="G94">
        <v>18.5</v>
      </c>
      <c r="H94">
        <v>59.3</v>
      </c>
      <c r="I94">
        <v>1.7</v>
      </c>
    </row>
    <row r="95" spans="1:9" hidden="1" x14ac:dyDescent="0.45">
      <c r="A95">
        <v>94</v>
      </c>
      <c r="B95" t="s">
        <v>95</v>
      </c>
      <c r="C95">
        <v>7</v>
      </c>
      <c r="D95">
        <v>3.9</v>
      </c>
      <c r="E95">
        <v>5</v>
      </c>
      <c r="F95">
        <v>25.9</v>
      </c>
      <c r="G95">
        <v>20</v>
      </c>
      <c r="H95">
        <v>43.5</v>
      </c>
      <c r="I95">
        <v>2.2999999999999998</v>
      </c>
    </row>
    <row r="96" spans="1:9" x14ac:dyDescent="0.45">
      <c r="A96">
        <v>95</v>
      </c>
      <c r="B96" t="s">
        <v>77</v>
      </c>
      <c r="C96">
        <v>6.7</v>
      </c>
      <c r="D96">
        <v>5.9</v>
      </c>
      <c r="E96">
        <v>7.1</v>
      </c>
      <c r="F96">
        <v>16.899999999999999</v>
      </c>
      <c r="G96">
        <v>14.1</v>
      </c>
      <c r="H96">
        <v>86.8</v>
      </c>
      <c r="I96">
        <v>1.2</v>
      </c>
    </row>
    <row r="97" spans="1:9" hidden="1" x14ac:dyDescent="0.45">
      <c r="A97">
        <v>96</v>
      </c>
      <c r="B97" t="s">
        <v>85</v>
      </c>
      <c r="C97">
        <v>6.6</v>
      </c>
      <c r="D97">
        <v>4</v>
      </c>
      <c r="E97">
        <v>4.5</v>
      </c>
      <c r="F97">
        <v>24.9</v>
      </c>
      <c r="G97">
        <v>22.4</v>
      </c>
      <c r="H97">
        <v>44.3</v>
      </c>
      <c r="I97">
        <v>2.2999999999999998</v>
      </c>
    </row>
    <row r="98" spans="1:9" hidden="1" x14ac:dyDescent="0.45">
      <c r="A98">
        <v>97</v>
      </c>
      <c r="B98" t="s">
        <v>107</v>
      </c>
      <c r="C98">
        <v>6.6</v>
      </c>
      <c r="D98">
        <v>8.8000000000000007</v>
      </c>
      <c r="E98">
        <v>7.5</v>
      </c>
      <c r="F98">
        <v>11.4</v>
      </c>
      <c r="G98">
        <v>13.4</v>
      </c>
      <c r="H98">
        <v>51.7</v>
      </c>
      <c r="I98">
        <v>1.9</v>
      </c>
    </row>
    <row r="99" spans="1:9" hidden="1" x14ac:dyDescent="0.45">
      <c r="A99">
        <v>98</v>
      </c>
      <c r="B99" t="s">
        <v>102</v>
      </c>
      <c r="C99">
        <v>6.5</v>
      </c>
      <c r="D99">
        <v>5.4</v>
      </c>
      <c r="E99">
        <v>6</v>
      </c>
      <c r="F99">
        <v>18.399999999999999</v>
      </c>
      <c r="G99">
        <v>16.7</v>
      </c>
      <c r="H99">
        <v>45.9</v>
      </c>
      <c r="I99">
        <v>2.2000000000000002</v>
      </c>
    </row>
    <row r="100" spans="1:9" hidden="1" x14ac:dyDescent="0.45">
      <c r="A100">
        <v>99</v>
      </c>
      <c r="B100" t="s">
        <v>69</v>
      </c>
      <c r="C100">
        <v>6.3</v>
      </c>
      <c r="D100">
        <v>7.4</v>
      </c>
      <c r="E100">
        <v>6.2</v>
      </c>
      <c r="F100">
        <v>13.5</v>
      </c>
      <c r="G100">
        <v>16.2</v>
      </c>
      <c r="H100">
        <v>77.3</v>
      </c>
      <c r="I100">
        <v>1.3</v>
      </c>
    </row>
    <row r="101" spans="1:9" hidden="1" x14ac:dyDescent="0.45">
      <c r="A101">
        <v>100</v>
      </c>
      <c r="B101" t="s">
        <v>97</v>
      </c>
      <c r="C101">
        <v>6.2</v>
      </c>
      <c r="D101">
        <v>5.6</v>
      </c>
      <c r="E101">
        <v>5.6</v>
      </c>
      <c r="F101">
        <v>17.8</v>
      </c>
      <c r="G101">
        <v>17.8</v>
      </c>
      <c r="H101">
        <v>46.1</v>
      </c>
      <c r="I101">
        <v>2.2000000000000002</v>
      </c>
    </row>
    <row r="102" spans="1:9" hidden="1" x14ac:dyDescent="0.45">
      <c r="A102">
        <v>101</v>
      </c>
      <c r="B102" t="s">
        <v>100</v>
      </c>
      <c r="C102">
        <v>6.2</v>
      </c>
      <c r="D102">
        <v>8.8000000000000007</v>
      </c>
      <c r="E102">
        <v>9.6999999999999993</v>
      </c>
      <c r="F102">
        <v>11.4</v>
      </c>
      <c r="G102">
        <v>10.3</v>
      </c>
      <c r="H102">
        <v>49.9</v>
      </c>
      <c r="I102">
        <v>2</v>
      </c>
    </row>
    <row r="103" spans="1:9" hidden="1" x14ac:dyDescent="0.45">
      <c r="A103">
        <v>102</v>
      </c>
      <c r="B103" t="s">
        <v>99</v>
      </c>
      <c r="C103">
        <v>6.1</v>
      </c>
      <c r="D103">
        <v>7.4</v>
      </c>
      <c r="E103">
        <v>6.2</v>
      </c>
      <c r="F103">
        <v>13.5</v>
      </c>
      <c r="G103">
        <v>16.2</v>
      </c>
      <c r="H103">
        <v>54.7</v>
      </c>
      <c r="I103">
        <v>1.8</v>
      </c>
    </row>
    <row r="104" spans="1:9" hidden="1" x14ac:dyDescent="0.45">
      <c r="A104">
        <v>103</v>
      </c>
      <c r="B104" t="s">
        <v>103</v>
      </c>
      <c r="C104">
        <v>6.1</v>
      </c>
      <c r="D104">
        <v>5.8</v>
      </c>
      <c r="E104">
        <v>6.4</v>
      </c>
      <c r="F104">
        <v>17.3</v>
      </c>
      <c r="G104">
        <v>15.6</v>
      </c>
      <c r="H104">
        <v>45</v>
      </c>
      <c r="I104">
        <v>2.2000000000000002</v>
      </c>
    </row>
    <row r="105" spans="1:9" hidden="1" x14ac:dyDescent="0.45">
      <c r="A105">
        <v>104</v>
      </c>
      <c r="B105" t="s">
        <v>98</v>
      </c>
      <c r="C105">
        <v>5.8</v>
      </c>
      <c r="D105">
        <v>6</v>
      </c>
      <c r="E105">
        <v>7</v>
      </c>
      <c r="F105">
        <v>16.600000000000001</v>
      </c>
      <c r="G105">
        <v>14.3</v>
      </c>
      <c r="H105">
        <v>49.1</v>
      </c>
      <c r="I105">
        <v>2</v>
      </c>
    </row>
    <row r="106" spans="1:9" hidden="1" x14ac:dyDescent="0.45">
      <c r="A106">
        <v>105</v>
      </c>
      <c r="B106" t="s">
        <v>79</v>
      </c>
      <c r="C106">
        <v>5.7</v>
      </c>
      <c r="D106">
        <v>10.199999999999999</v>
      </c>
      <c r="E106">
        <v>9.3000000000000007</v>
      </c>
      <c r="F106">
        <v>9.8000000000000007</v>
      </c>
      <c r="G106">
        <v>10.7</v>
      </c>
      <c r="H106">
        <v>84.3</v>
      </c>
      <c r="I106">
        <v>1.2</v>
      </c>
    </row>
    <row r="107" spans="1:9" hidden="1" x14ac:dyDescent="0.45">
      <c r="A107">
        <v>106</v>
      </c>
      <c r="B107" t="s">
        <v>104</v>
      </c>
      <c r="C107">
        <v>5.6</v>
      </c>
      <c r="D107">
        <v>8.1</v>
      </c>
      <c r="E107">
        <v>8.1</v>
      </c>
      <c r="F107">
        <v>12.4</v>
      </c>
      <c r="G107">
        <v>12.4</v>
      </c>
      <c r="H107">
        <v>52.7</v>
      </c>
      <c r="I107">
        <v>1.9</v>
      </c>
    </row>
    <row r="108" spans="1:9" hidden="1" x14ac:dyDescent="0.45">
      <c r="A108">
        <v>107</v>
      </c>
      <c r="B108" t="s">
        <v>81</v>
      </c>
      <c r="C108">
        <v>5.5</v>
      </c>
      <c r="D108">
        <v>5.9</v>
      </c>
      <c r="E108">
        <v>6.4</v>
      </c>
      <c r="F108">
        <v>17.100000000000001</v>
      </c>
      <c r="G108">
        <v>15.6</v>
      </c>
      <c r="H108">
        <v>37.9</v>
      </c>
      <c r="I108">
        <v>2.6</v>
      </c>
    </row>
    <row r="109" spans="1:9" hidden="1" x14ac:dyDescent="0.45">
      <c r="A109">
        <v>108</v>
      </c>
      <c r="B109" t="s">
        <v>126</v>
      </c>
      <c r="C109">
        <v>5.4</v>
      </c>
      <c r="D109">
        <v>9.3000000000000007</v>
      </c>
      <c r="E109">
        <v>30.2</v>
      </c>
      <c r="F109">
        <v>10.8</v>
      </c>
      <c r="G109">
        <v>3.3</v>
      </c>
      <c r="H109">
        <v>64</v>
      </c>
      <c r="I109">
        <v>1.6</v>
      </c>
    </row>
    <row r="110" spans="1:9" hidden="1" x14ac:dyDescent="0.45">
      <c r="A110">
        <v>109</v>
      </c>
      <c r="B110" t="s">
        <v>127</v>
      </c>
      <c r="C110">
        <v>5.0999999999999996</v>
      </c>
      <c r="D110">
        <v>15.1</v>
      </c>
      <c r="E110">
        <v>13.2</v>
      </c>
      <c r="F110">
        <v>6.6</v>
      </c>
      <c r="G110">
        <v>7.6</v>
      </c>
      <c r="H110">
        <v>51</v>
      </c>
      <c r="I110">
        <v>2</v>
      </c>
    </row>
    <row r="111" spans="1:9" hidden="1" x14ac:dyDescent="0.45">
      <c r="A111">
        <v>110</v>
      </c>
      <c r="B111" t="s">
        <v>106</v>
      </c>
      <c r="C111">
        <v>5</v>
      </c>
      <c r="D111">
        <v>5.7</v>
      </c>
      <c r="E111">
        <v>5.7</v>
      </c>
      <c r="F111">
        <v>17.399999999999999</v>
      </c>
      <c r="G111">
        <v>17.5</v>
      </c>
      <c r="H111">
        <v>34.299999999999997</v>
      </c>
      <c r="I111">
        <v>2.9</v>
      </c>
    </row>
    <row r="112" spans="1:9" hidden="1" x14ac:dyDescent="0.45">
      <c r="A112">
        <v>111</v>
      </c>
      <c r="B112" t="s">
        <v>128</v>
      </c>
      <c r="C112">
        <v>4.9000000000000004</v>
      </c>
      <c r="D112">
        <v>19.899999999999999</v>
      </c>
      <c r="E112">
        <v>24.6</v>
      </c>
      <c r="F112">
        <v>5</v>
      </c>
      <c r="G112">
        <v>4.0999999999999996</v>
      </c>
      <c r="H112">
        <v>102.3</v>
      </c>
      <c r="I112">
        <v>1</v>
      </c>
    </row>
    <row r="113" spans="1:9" hidden="1" x14ac:dyDescent="0.45">
      <c r="A113">
        <v>112</v>
      </c>
      <c r="B113" t="s">
        <v>108</v>
      </c>
      <c r="C113">
        <v>4.5</v>
      </c>
      <c r="D113">
        <v>5.7</v>
      </c>
      <c r="E113">
        <v>6.3</v>
      </c>
      <c r="F113">
        <v>17.399999999999999</v>
      </c>
      <c r="G113">
        <v>16</v>
      </c>
      <c r="H113">
        <v>36</v>
      </c>
      <c r="I113">
        <v>2.8</v>
      </c>
    </row>
    <row r="114" spans="1:9" hidden="1" x14ac:dyDescent="0.45">
      <c r="A114">
        <v>113</v>
      </c>
      <c r="B114" t="s">
        <v>129</v>
      </c>
      <c r="C114">
        <v>4.3</v>
      </c>
      <c r="D114">
        <v>13.4</v>
      </c>
      <c r="E114">
        <v>9.1999999999999993</v>
      </c>
      <c r="F114">
        <v>7.5</v>
      </c>
      <c r="G114">
        <v>10.8</v>
      </c>
      <c r="H114">
        <v>55.2</v>
      </c>
      <c r="I114">
        <v>1.8</v>
      </c>
    </row>
    <row r="115" spans="1:9" hidden="1" x14ac:dyDescent="0.45">
      <c r="A115">
        <v>114</v>
      </c>
      <c r="B115" t="s">
        <v>130</v>
      </c>
      <c r="C115">
        <v>3.9</v>
      </c>
      <c r="D115">
        <v>7.3</v>
      </c>
      <c r="E115">
        <v>8.5</v>
      </c>
      <c r="F115">
        <v>13.7</v>
      </c>
      <c r="G115">
        <v>11.8</v>
      </c>
      <c r="H115">
        <v>39.4</v>
      </c>
      <c r="I115">
        <v>2.5</v>
      </c>
    </row>
    <row r="116" spans="1:9" hidden="1" x14ac:dyDescent="0.45">
      <c r="A116">
        <v>115</v>
      </c>
      <c r="B116" t="s">
        <v>131</v>
      </c>
      <c r="C116">
        <v>3.7</v>
      </c>
      <c r="D116">
        <v>4</v>
      </c>
      <c r="E116">
        <v>3.5</v>
      </c>
      <c r="F116">
        <v>25</v>
      </c>
      <c r="G116">
        <v>28.9</v>
      </c>
      <c r="H116">
        <v>38.9</v>
      </c>
      <c r="I116">
        <v>2.6</v>
      </c>
    </row>
    <row r="117" spans="1:9" hidden="1" x14ac:dyDescent="0.45">
      <c r="A117">
        <v>116</v>
      </c>
      <c r="B117" t="s">
        <v>132</v>
      </c>
      <c r="C117">
        <v>3.5</v>
      </c>
      <c r="D117">
        <v>7.1</v>
      </c>
      <c r="E117">
        <v>11.5</v>
      </c>
      <c r="F117">
        <v>14.1</v>
      </c>
      <c r="G117">
        <v>8.6999999999999993</v>
      </c>
      <c r="H117">
        <v>49</v>
      </c>
      <c r="I117">
        <v>2</v>
      </c>
    </row>
    <row r="118" spans="1:9" hidden="1" x14ac:dyDescent="0.45">
      <c r="A118">
        <v>117</v>
      </c>
      <c r="B118" t="s">
        <v>111</v>
      </c>
      <c r="C118">
        <v>3.2</v>
      </c>
      <c r="D118">
        <v>11.4</v>
      </c>
      <c r="E118">
        <v>12.6</v>
      </c>
      <c r="F118">
        <v>8.8000000000000007</v>
      </c>
      <c r="G118">
        <v>7.9</v>
      </c>
      <c r="H118">
        <v>30.3</v>
      </c>
      <c r="I118">
        <v>3.3</v>
      </c>
    </row>
    <row r="119" spans="1:9" hidden="1" x14ac:dyDescent="0.45">
      <c r="A119">
        <v>118</v>
      </c>
      <c r="B119" t="s">
        <v>110</v>
      </c>
      <c r="C119">
        <v>3.1</v>
      </c>
      <c r="D119">
        <v>10.199999999999999</v>
      </c>
      <c r="E119">
        <v>9.4</v>
      </c>
      <c r="F119">
        <v>9.8000000000000007</v>
      </c>
      <c r="G119">
        <v>10.6</v>
      </c>
      <c r="H119">
        <v>33.6</v>
      </c>
      <c r="I119">
        <v>3</v>
      </c>
    </row>
    <row r="120" spans="1:9" hidden="1" x14ac:dyDescent="0.45">
      <c r="A120">
        <v>119</v>
      </c>
      <c r="B120" t="s">
        <v>112</v>
      </c>
      <c r="C120">
        <v>3.1</v>
      </c>
      <c r="D120">
        <v>7.2</v>
      </c>
      <c r="E120">
        <v>6.9</v>
      </c>
      <c r="F120">
        <v>13.9</v>
      </c>
      <c r="G120">
        <v>14.6</v>
      </c>
      <c r="H120">
        <v>23.5</v>
      </c>
      <c r="I120">
        <v>4.2</v>
      </c>
    </row>
    <row r="121" spans="1:9" hidden="1" x14ac:dyDescent="0.45">
      <c r="A121">
        <v>120</v>
      </c>
      <c r="B121" t="s">
        <v>109</v>
      </c>
      <c r="C121">
        <v>2.6</v>
      </c>
      <c r="D121">
        <v>11.2</v>
      </c>
      <c r="E121">
        <v>12.9</v>
      </c>
      <c r="F121">
        <v>9</v>
      </c>
      <c r="G121">
        <v>7.7</v>
      </c>
      <c r="H121">
        <v>19.399999999999999</v>
      </c>
      <c r="I121">
        <v>5.0999999999999996</v>
      </c>
    </row>
    <row r="122" spans="1:9" hidden="1" x14ac:dyDescent="0.45">
      <c r="A122">
        <v>121</v>
      </c>
      <c r="B122" t="s">
        <v>133</v>
      </c>
      <c r="C122">
        <v>1.8</v>
      </c>
      <c r="D122">
        <v>80.3</v>
      </c>
      <c r="E122">
        <v>27.8</v>
      </c>
      <c r="F122">
        <v>1.2</v>
      </c>
      <c r="G122">
        <v>3.6</v>
      </c>
      <c r="H122">
        <v>27.9</v>
      </c>
      <c r="I122">
        <v>3.6</v>
      </c>
    </row>
  </sheetData>
  <autoFilter ref="A1:I122" xr:uid="{5E5DD106-5581-4E39-9F49-406757605A23}">
    <filterColumn colId="1">
      <filters>
        <filter val="Turkey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37F55-8C65-4BFA-8A20-61FFBE98CEFE}">
  <dimension ref="A1:S268"/>
  <sheetViews>
    <sheetView topLeftCell="A88" workbookViewId="0">
      <selection activeCell="D91" sqref="D91"/>
    </sheetView>
  </sheetViews>
  <sheetFormatPr defaultRowHeight="14.25" x14ac:dyDescent="0.45"/>
  <cols>
    <col min="3" max="3" width="17.59765625" bestFit="1" customWidth="1"/>
  </cols>
  <sheetData>
    <row r="1" spans="1:19" x14ac:dyDescent="0.45">
      <c r="B1">
        <v>2025</v>
      </c>
      <c r="C1">
        <v>2025</v>
      </c>
      <c r="D1">
        <v>2015</v>
      </c>
      <c r="E1">
        <v>2015</v>
      </c>
    </row>
    <row r="2" spans="1:19" x14ac:dyDescent="0.45">
      <c r="A2" t="s">
        <v>1</v>
      </c>
      <c r="B2" t="s">
        <v>564</v>
      </c>
      <c r="C2" t="s">
        <v>566</v>
      </c>
      <c r="D2" t="s">
        <v>564</v>
      </c>
      <c r="E2" t="s">
        <v>566</v>
      </c>
      <c r="J2" t="s">
        <v>134</v>
      </c>
      <c r="K2" t="s">
        <v>135</v>
      </c>
      <c r="L2" t="s">
        <v>563</v>
      </c>
      <c r="N2" t="s">
        <v>134</v>
      </c>
      <c r="O2" t="s">
        <v>135</v>
      </c>
      <c r="P2" t="s">
        <v>565</v>
      </c>
    </row>
    <row r="3" spans="1:19" x14ac:dyDescent="0.45">
      <c r="A3" t="s">
        <v>36</v>
      </c>
      <c r="B3">
        <f t="shared" ref="B3:B34" si="0">VLOOKUP(A3,$J$3:$L$268,3,FALSE)</f>
        <v>27146.381474728154</v>
      </c>
      <c r="C3">
        <f>VLOOKUP(A3,'2025'!$B$2:$H$105,2,FALSE)/100</f>
        <v>0.153</v>
      </c>
      <c r="D3">
        <f>VLOOKUP(A3,$N$3:$P$268,3,FALSE)</f>
        <v>11571.706559893075</v>
      </c>
      <c r="E3">
        <f>VLOOKUP(A3,'2015'!$B$2:$H$122,2,FALSE)/100</f>
        <v>0.14599999999999999</v>
      </c>
      <c r="F3">
        <f>B3/D3-1</f>
        <v>1.3459272263968463</v>
      </c>
      <c r="J3" t="s">
        <v>136</v>
      </c>
      <c r="K3" t="s">
        <v>137</v>
      </c>
      <c r="L3">
        <v>50649.301523221184</v>
      </c>
      <c r="N3" t="s">
        <v>136</v>
      </c>
      <c r="O3" t="s">
        <v>137</v>
      </c>
      <c r="P3">
        <v>35972.859661930415</v>
      </c>
      <c r="R3" t="s">
        <v>49</v>
      </c>
      <c r="S3" t="s">
        <v>219</v>
      </c>
    </row>
    <row r="4" spans="1:19" x14ac:dyDescent="0.45">
      <c r="A4" t="s">
        <v>31</v>
      </c>
      <c r="B4">
        <f t="shared" si="0"/>
        <v>17620.742395612582</v>
      </c>
      <c r="C4">
        <f>VLOOKUP(A4,'2025'!$B$2:$H$105,2,FALSE)/100</f>
        <v>0.16699999999999998</v>
      </c>
      <c r="D4">
        <f t="shared" ref="D4:D67" si="1">VLOOKUP(A4,$N$3:$P$268,3,FALSE)</f>
        <v>13807.351584147766</v>
      </c>
      <c r="E4">
        <f>VLOOKUP(A4,'2015'!$B$2:$H$122,2,FALSE)/100</f>
        <v>0.20899999999999999</v>
      </c>
      <c r="J4" t="s">
        <v>138</v>
      </c>
      <c r="K4" t="s">
        <v>139</v>
      </c>
      <c r="L4">
        <v>4635.7882240455028</v>
      </c>
      <c r="N4" t="s">
        <v>138</v>
      </c>
      <c r="O4" t="s">
        <v>139</v>
      </c>
      <c r="P4">
        <v>3539.8155060707791</v>
      </c>
      <c r="R4" t="s">
        <v>27</v>
      </c>
      <c r="S4" t="s">
        <v>240</v>
      </c>
    </row>
    <row r="5" spans="1:19" x14ac:dyDescent="0.45">
      <c r="A5" t="s">
        <v>29</v>
      </c>
      <c r="B5">
        <f t="shared" si="0"/>
        <v>30431.193122369299</v>
      </c>
      <c r="C5">
        <f>VLOOKUP(A5,'2025'!$B$2:$H$105,2,FALSE)/100</f>
        <v>0.17699999999999999</v>
      </c>
      <c r="D5">
        <f t="shared" si="1"/>
        <v>19899.149927524544</v>
      </c>
      <c r="E5">
        <f>VLOOKUP(A5,'2015'!$B$2:$H$122,2,FALSE)/100</f>
        <v>0.11599999999999999</v>
      </c>
      <c r="J5" t="s">
        <v>140</v>
      </c>
      <c r="K5" t="s">
        <v>141</v>
      </c>
      <c r="N5" t="s">
        <v>140</v>
      </c>
      <c r="O5" t="s">
        <v>141</v>
      </c>
      <c r="P5">
        <v>2284.0758478934936</v>
      </c>
      <c r="R5" t="s">
        <v>15</v>
      </c>
      <c r="S5" t="s">
        <v>288</v>
      </c>
    </row>
    <row r="6" spans="1:19" x14ac:dyDescent="0.45">
      <c r="A6" t="s">
        <v>24</v>
      </c>
      <c r="B6">
        <f t="shared" si="0"/>
        <v>22823.17952556931</v>
      </c>
      <c r="C6">
        <f>VLOOKUP(A6,'2025'!$B$2:$H$105,2,FALSE)/100</f>
        <v>0.19399999999999998</v>
      </c>
      <c r="D6">
        <f t="shared" si="1"/>
        <v>9756.8408483602598</v>
      </c>
      <c r="E6">
        <f>VLOOKUP(A6,'2015'!$B$2:$H$122,2,FALSE)/100</f>
        <v>0.13400000000000001</v>
      </c>
      <c r="J6" t="s">
        <v>142</v>
      </c>
      <c r="K6" t="s">
        <v>143</v>
      </c>
      <c r="L6">
        <v>6815.9909611511712</v>
      </c>
      <c r="N6" t="s">
        <v>142</v>
      </c>
      <c r="O6" t="s">
        <v>143</v>
      </c>
      <c r="P6">
        <v>5056.7394387282175</v>
      </c>
      <c r="R6" t="s">
        <v>23</v>
      </c>
      <c r="S6" t="s">
        <v>314</v>
      </c>
    </row>
    <row r="7" spans="1:19" x14ac:dyDescent="0.45">
      <c r="A7" t="s">
        <v>94</v>
      </c>
      <c r="B7">
        <f t="shared" si="0"/>
        <v>72111.184462812598</v>
      </c>
      <c r="C7">
        <f>VLOOKUP(A7,'2025'!$B$2:$H$105,2,FALSE)/100</f>
        <v>8.1000000000000003E-2</v>
      </c>
      <c r="D7">
        <f t="shared" si="1"/>
        <v>46464.586762792911</v>
      </c>
      <c r="E7">
        <f>VLOOKUP(A7,'2015'!$B$2:$H$122,2,FALSE)/100</f>
        <v>7.0999999999999994E-2</v>
      </c>
      <c r="J7" t="s">
        <v>144</v>
      </c>
      <c r="K7" t="s">
        <v>145</v>
      </c>
      <c r="L7">
        <v>10118.608994540782</v>
      </c>
      <c r="N7" t="s">
        <v>144</v>
      </c>
      <c r="O7" t="s">
        <v>145</v>
      </c>
      <c r="P7">
        <v>8067.4858468301818</v>
      </c>
      <c r="R7" t="s">
        <v>47</v>
      </c>
    </row>
    <row r="8" spans="1:19" x14ac:dyDescent="0.45">
      <c r="A8" t="s">
        <v>70</v>
      </c>
      <c r="B8">
        <f t="shared" si="0"/>
        <v>73911.43966313597</v>
      </c>
      <c r="C8">
        <f>VLOOKUP(A8,'2025'!$B$2:$H$105,2,FALSE)/100</f>
        <v>0.115</v>
      </c>
      <c r="D8">
        <f t="shared" si="1"/>
        <v>49549.316231144054</v>
      </c>
      <c r="E8">
        <f>VLOOKUP(A8,'2015'!$B$2:$H$122,2,FALSE)/100</f>
        <v>9.6000000000000002E-2</v>
      </c>
      <c r="J8" t="s">
        <v>36</v>
      </c>
      <c r="K8" t="s">
        <v>146</v>
      </c>
      <c r="L8">
        <v>27146.381474728154</v>
      </c>
      <c r="N8" t="s">
        <v>36</v>
      </c>
      <c r="O8" t="s">
        <v>146</v>
      </c>
      <c r="P8">
        <v>11571.706559893075</v>
      </c>
      <c r="R8" t="s">
        <v>45</v>
      </c>
      <c r="S8" t="s">
        <v>325</v>
      </c>
    </row>
    <row r="9" spans="1:19" x14ac:dyDescent="0.45">
      <c r="A9" t="s">
        <v>35</v>
      </c>
      <c r="B9">
        <f t="shared" si="0"/>
        <v>25088.999375713367</v>
      </c>
      <c r="C9">
        <f>VLOOKUP(A9,'2025'!$B$2:$H$105,2,FALSE)/100</f>
        <v>0.156</v>
      </c>
      <c r="D9">
        <f t="shared" si="1"/>
        <v>15075.272634791074</v>
      </c>
      <c r="E9">
        <f>VLOOKUP(A9,'2015'!$B$2:$H$122,2,FALSE)/100</f>
        <v>0.16200000000000001</v>
      </c>
      <c r="J9" t="s">
        <v>147</v>
      </c>
      <c r="K9" t="s">
        <v>148</v>
      </c>
      <c r="L9">
        <v>74939.474603857831</v>
      </c>
      <c r="N9" t="s">
        <v>147</v>
      </c>
      <c r="O9" t="s">
        <v>148</v>
      </c>
      <c r="P9">
        <v>50733.239001170448</v>
      </c>
      <c r="R9" t="s">
        <v>105</v>
      </c>
    </row>
    <row r="10" spans="1:19" x14ac:dyDescent="0.45">
      <c r="A10" t="s">
        <v>61</v>
      </c>
      <c r="B10">
        <f t="shared" si="0"/>
        <v>9646.7698438325478</v>
      </c>
      <c r="C10">
        <f>VLOOKUP(A10,'2025'!$B$2:$H$105,2,FALSE)/100</f>
        <v>0.128</v>
      </c>
      <c r="D10">
        <f t="shared" si="1"/>
        <v>4212.2357808942761</v>
      </c>
      <c r="E10">
        <f>VLOOKUP(A10,'2015'!$B$2:$H$122,2,FALSE)/100</f>
        <v>0.109</v>
      </c>
      <c r="J10" t="s">
        <v>149</v>
      </c>
      <c r="K10" t="s">
        <v>150</v>
      </c>
      <c r="L10">
        <v>18870.314811050725</v>
      </c>
      <c r="N10" t="s">
        <v>149</v>
      </c>
      <c r="O10" t="s">
        <v>150</v>
      </c>
      <c r="P10">
        <v>14332.866212073046</v>
      </c>
      <c r="R10" t="s">
        <v>108</v>
      </c>
    </row>
    <row r="11" spans="1:19" x14ac:dyDescent="0.45">
      <c r="A11" t="s">
        <v>59</v>
      </c>
      <c r="B11">
        <f t="shared" si="0"/>
        <v>33010.330760535726</v>
      </c>
      <c r="C11">
        <f>VLOOKUP(A11,'2025'!$B$2:$H$105,2,FALSE)/100</f>
        <v>0.128</v>
      </c>
      <c r="D11">
        <f t="shared" si="1"/>
        <v>18133.531308588295</v>
      </c>
      <c r="E11">
        <f>VLOOKUP(A11,'2015'!$B$2:$H$122,2,FALSE)/100</f>
        <v>0.16399999999999998</v>
      </c>
      <c r="J11" t="s">
        <v>100</v>
      </c>
      <c r="K11" t="s">
        <v>151</v>
      </c>
      <c r="L11">
        <v>79228.73880127602</v>
      </c>
      <c r="N11" t="s">
        <v>100</v>
      </c>
      <c r="O11" t="s">
        <v>151</v>
      </c>
      <c r="P11">
        <v>73986.063639594504</v>
      </c>
      <c r="R11" t="s">
        <v>42</v>
      </c>
      <c r="S11" t="s">
        <v>451</v>
      </c>
    </row>
    <row r="12" spans="1:19" x14ac:dyDescent="0.45">
      <c r="A12" t="s">
        <v>102</v>
      </c>
      <c r="B12">
        <f t="shared" si="0"/>
        <v>73514.483104525832</v>
      </c>
      <c r="C12">
        <f>VLOOKUP(A12,'2025'!$B$2:$H$105,2,FALSE)/100</f>
        <v>6.8000000000000005E-2</v>
      </c>
      <c r="D12">
        <f t="shared" si="1"/>
        <v>46071.914889496016</v>
      </c>
      <c r="E12">
        <f>VLOOKUP(A12,'2015'!$B$2:$H$122,2,FALSE)/100</f>
        <v>6.5000000000000002E-2</v>
      </c>
      <c r="J12" t="s">
        <v>29</v>
      </c>
      <c r="K12" t="s">
        <v>152</v>
      </c>
      <c r="L12">
        <v>30431.193122369299</v>
      </c>
      <c r="N12" t="s">
        <v>29</v>
      </c>
      <c r="O12" t="s">
        <v>152</v>
      </c>
      <c r="P12">
        <v>19899.149927524544</v>
      </c>
      <c r="R12" t="s">
        <v>44</v>
      </c>
      <c r="S12" t="s">
        <v>485</v>
      </c>
    </row>
    <row r="13" spans="1:19" x14ac:dyDescent="0.45">
      <c r="A13" t="s">
        <v>67</v>
      </c>
      <c r="B13">
        <f t="shared" si="0"/>
        <v>12877.635118437232</v>
      </c>
      <c r="C13">
        <f>VLOOKUP(A13,'2025'!$B$2:$H$105,2,FALSE)/100</f>
        <v>0.12</v>
      </c>
      <c r="D13">
        <f t="shared" si="1"/>
        <v>8757.3177711540648</v>
      </c>
      <c r="E13">
        <f>VLOOKUP(A13,'2015'!$B$2:$H$122,2,FALSE)/100</f>
        <v>0.10300000000000001</v>
      </c>
      <c r="J13" t="s">
        <v>24</v>
      </c>
      <c r="K13" t="s">
        <v>153</v>
      </c>
      <c r="L13">
        <v>22823.17952556931</v>
      </c>
      <c r="N13" t="s">
        <v>24</v>
      </c>
      <c r="O13" t="s">
        <v>153</v>
      </c>
      <c r="P13">
        <v>9756.8408483602598</v>
      </c>
      <c r="R13" t="s">
        <v>21</v>
      </c>
      <c r="S13" t="s">
        <v>332</v>
      </c>
    </row>
    <row r="14" spans="1:19" x14ac:dyDescent="0.45">
      <c r="A14" t="s">
        <v>53</v>
      </c>
      <c r="B14">
        <f t="shared" si="0"/>
        <v>23345.496800010747</v>
      </c>
      <c r="C14">
        <f>VLOOKUP(A14,'2025'!$B$2:$H$105,2,FALSE)/100</f>
        <v>0.13200000000000001</v>
      </c>
      <c r="D14">
        <f t="shared" si="1"/>
        <v>11066.154068834705</v>
      </c>
      <c r="E14">
        <f>VLOOKUP(A14,'2015'!$B$2:$H$122,2,FALSE)/100</f>
        <v>0.125</v>
      </c>
      <c r="J14" t="s">
        <v>154</v>
      </c>
      <c r="K14" t="s">
        <v>155</v>
      </c>
      <c r="N14" t="s">
        <v>154</v>
      </c>
      <c r="O14" t="s">
        <v>155</v>
      </c>
      <c r="R14" t="s">
        <v>22</v>
      </c>
    </row>
    <row r="15" spans="1:19" x14ac:dyDescent="0.45">
      <c r="A15" t="s">
        <v>37</v>
      </c>
      <c r="B15">
        <f t="shared" si="0"/>
        <v>22338.476564063538</v>
      </c>
      <c r="C15">
        <f>VLOOKUP(A15,'2025'!$B$2:$H$105,2,FALSE)/100</f>
        <v>0.152</v>
      </c>
      <c r="D15">
        <f t="shared" si="1"/>
        <v>14821.438317518334</v>
      </c>
      <c r="E15">
        <f>VLOOKUP(A15,'2015'!$B$2:$H$122,2,FALSE)/100</f>
        <v>0.16699999999999998</v>
      </c>
      <c r="J15" t="s">
        <v>156</v>
      </c>
      <c r="K15" t="s">
        <v>157</v>
      </c>
      <c r="L15">
        <v>33386.191712789405</v>
      </c>
      <c r="N15" t="s">
        <v>156</v>
      </c>
      <c r="O15" t="s">
        <v>157</v>
      </c>
      <c r="P15">
        <v>20985.438829217725</v>
      </c>
      <c r="R15" t="s">
        <v>77</v>
      </c>
      <c r="S15" t="s">
        <v>527</v>
      </c>
    </row>
    <row r="16" spans="1:19" x14ac:dyDescent="0.45">
      <c r="A16" t="s">
        <v>84</v>
      </c>
      <c r="B16">
        <f t="shared" si="0"/>
        <v>42224.444535951698</v>
      </c>
      <c r="C16">
        <f>VLOOKUP(A16,'2025'!$B$2:$H$105,2,FALSE)/100</f>
        <v>9.3000000000000013E-2</v>
      </c>
      <c r="D16">
        <f t="shared" si="1"/>
        <v>17652.947096756332</v>
      </c>
      <c r="E16">
        <f>VLOOKUP(A16,'2015'!$B$2:$H$122,2,FALSE)/100</f>
        <v>9.4E-2</v>
      </c>
      <c r="J16" t="s">
        <v>94</v>
      </c>
      <c r="K16" t="s">
        <v>158</v>
      </c>
      <c r="L16">
        <v>72111.184462812598</v>
      </c>
      <c r="N16" t="s">
        <v>94</v>
      </c>
      <c r="O16" t="s">
        <v>158</v>
      </c>
      <c r="P16">
        <v>46464.586762792911</v>
      </c>
      <c r="R16" t="s">
        <v>38</v>
      </c>
      <c r="S16" t="s">
        <v>541</v>
      </c>
    </row>
    <row r="17" spans="1:19" x14ac:dyDescent="0.45">
      <c r="A17" t="s">
        <v>12</v>
      </c>
      <c r="B17">
        <f t="shared" si="0"/>
        <v>5588.9864586194471</v>
      </c>
      <c r="C17">
        <f>VLOOKUP(A17,'2025'!$B$2:$H$105,2,FALSE)/100</f>
        <v>0.46600000000000003</v>
      </c>
      <c r="D17">
        <f t="shared" si="1"/>
        <v>3497.6606756395859</v>
      </c>
      <c r="E17" t="e">
        <f>VLOOKUP(A17,'2015'!$B$2:$H$122,2,FALSE)/100</f>
        <v>#N/A</v>
      </c>
      <c r="J17" t="s">
        <v>70</v>
      </c>
      <c r="K17" t="s">
        <v>159</v>
      </c>
      <c r="L17">
        <v>73911.43966313597</v>
      </c>
      <c r="N17" t="s">
        <v>70</v>
      </c>
      <c r="O17" t="s">
        <v>159</v>
      </c>
      <c r="P17">
        <v>49549.316231144054</v>
      </c>
      <c r="R17" t="s">
        <v>17</v>
      </c>
      <c r="S17" t="s">
        <v>547</v>
      </c>
    </row>
    <row r="18" spans="1:19" x14ac:dyDescent="0.45">
      <c r="A18" t="s">
        <v>81</v>
      </c>
      <c r="B18">
        <f t="shared" si="0"/>
        <v>64610.379517197114</v>
      </c>
      <c r="C18">
        <f>VLOOKUP(A18,'2025'!$B$2:$H$105,2,FALSE)/100</f>
        <v>0.10199999999999999</v>
      </c>
      <c r="D18">
        <f t="shared" si="1"/>
        <v>44668.091281430337</v>
      </c>
      <c r="E18">
        <f>VLOOKUP(A18,'2015'!$B$2:$H$122,2,FALSE)/100</f>
        <v>5.5E-2</v>
      </c>
      <c r="J18" t="s">
        <v>35</v>
      </c>
      <c r="K18" t="s">
        <v>160</v>
      </c>
      <c r="L18">
        <v>25088.999375713367</v>
      </c>
      <c r="N18" t="s">
        <v>35</v>
      </c>
      <c r="O18" t="s">
        <v>160</v>
      </c>
      <c r="P18">
        <v>15075.272634791074</v>
      </c>
    </row>
    <row r="19" spans="1:19" x14ac:dyDescent="0.45">
      <c r="A19" t="s">
        <v>34</v>
      </c>
      <c r="B19">
        <f t="shared" si="0"/>
        <v>36181.156616977023</v>
      </c>
      <c r="C19">
        <f>VLOOKUP(A19,'2025'!$B$2:$H$105,2,FALSE)/100</f>
        <v>0.156</v>
      </c>
      <c r="D19">
        <f t="shared" si="1"/>
        <v>22468.312574554722</v>
      </c>
      <c r="E19">
        <f>VLOOKUP(A19,'2015'!$B$2:$H$122,2,FALSE)/100</f>
        <v>0.10800000000000001</v>
      </c>
      <c r="J19" t="s">
        <v>161</v>
      </c>
      <c r="K19" t="s">
        <v>162</v>
      </c>
      <c r="L19">
        <v>1194.9468137038734</v>
      </c>
      <c r="N19" t="s">
        <v>161</v>
      </c>
      <c r="O19" t="s">
        <v>162</v>
      </c>
      <c r="P19">
        <v>722.03289837993327</v>
      </c>
    </row>
    <row r="20" spans="1:19" x14ac:dyDescent="0.45">
      <c r="A20" t="s">
        <v>16</v>
      </c>
      <c r="B20">
        <f t="shared" si="0"/>
        <v>27104.870267746301</v>
      </c>
      <c r="C20">
        <f>VLOOKUP(A20,'2025'!$B$2:$H$105,2,FALSE)/100</f>
        <v>0.28499999999999998</v>
      </c>
      <c r="D20">
        <f t="shared" si="1"/>
        <v>13463.333151110473</v>
      </c>
      <c r="E20">
        <f>VLOOKUP(A20,'2015'!$B$2:$H$122,2,FALSE)/100</f>
        <v>0.26400000000000001</v>
      </c>
      <c r="J20" t="s">
        <v>102</v>
      </c>
      <c r="K20" t="s">
        <v>163</v>
      </c>
      <c r="L20">
        <v>73514.483104525832</v>
      </c>
      <c r="N20" t="s">
        <v>102</v>
      </c>
      <c r="O20" t="s">
        <v>163</v>
      </c>
      <c r="P20">
        <v>46071.914889496016</v>
      </c>
    </row>
    <row r="21" spans="1:19" x14ac:dyDescent="0.45">
      <c r="A21" t="s">
        <v>28</v>
      </c>
      <c r="B21">
        <f t="shared" si="0"/>
        <v>22349.436440122994</v>
      </c>
      <c r="C21">
        <f>VLOOKUP(A21,'2025'!$B$2:$H$105,2,FALSE)/100</f>
        <v>0.18100000000000002</v>
      </c>
      <c r="D21">
        <f t="shared" si="1"/>
        <v>13332.055504821143</v>
      </c>
      <c r="E21">
        <f>VLOOKUP(A21,'2015'!$B$2:$H$122,2,FALSE)/100</f>
        <v>0.14400000000000002</v>
      </c>
      <c r="J21" t="s">
        <v>164</v>
      </c>
      <c r="K21" t="s">
        <v>165</v>
      </c>
      <c r="L21">
        <v>4434.5642184028029</v>
      </c>
      <c r="N21" t="s">
        <v>164</v>
      </c>
      <c r="O21" t="s">
        <v>165</v>
      </c>
      <c r="P21">
        <v>2725.3372481714405</v>
      </c>
    </row>
    <row r="22" spans="1:19" x14ac:dyDescent="0.45">
      <c r="A22" t="s">
        <v>79</v>
      </c>
      <c r="B22">
        <f t="shared" si="0"/>
        <v>31106.764355672858</v>
      </c>
      <c r="C22">
        <f>VLOOKUP(A22,'2025'!$B$2:$H$105,2,FALSE)/100</f>
        <v>0.10300000000000001</v>
      </c>
      <c r="D22">
        <f t="shared" si="1"/>
        <v>17525.140462514501</v>
      </c>
      <c r="E22">
        <f>VLOOKUP(A22,'2015'!$B$2:$H$122,2,FALSE)/100</f>
        <v>5.7000000000000002E-2</v>
      </c>
      <c r="J22" t="s">
        <v>166</v>
      </c>
      <c r="K22" t="s">
        <v>167</v>
      </c>
      <c r="L22">
        <v>2895.8915203366482</v>
      </c>
      <c r="N22" t="s">
        <v>166</v>
      </c>
      <c r="O22" t="s">
        <v>167</v>
      </c>
      <c r="P22">
        <v>1691.5793538740807</v>
      </c>
    </row>
    <row r="23" spans="1:19" x14ac:dyDescent="0.45">
      <c r="A23" t="s">
        <v>60</v>
      </c>
      <c r="B23">
        <f t="shared" si="0"/>
        <v>49645.745685441332</v>
      </c>
      <c r="C23">
        <f>VLOOKUP(A23,'2025'!$B$2:$H$105,2,FALSE)/100</f>
        <v>0.128</v>
      </c>
      <c r="D23">
        <f t="shared" si="1"/>
        <v>22187.17739422802</v>
      </c>
      <c r="E23">
        <f>VLOOKUP(A23,'2015'!$B$2:$H$122,2,FALSE)/100</f>
        <v>0.125</v>
      </c>
      <c r="J23" t="s">
        <v>61</v>
      </c>
      <c r="K23" t="s">
        <v>168</v>
      </c>
      <c r="L23">
        <v>9646.7698438325478</v>
      </c>
      <c r="N23" t="s">
        <v>61</v>
      </c>
      <c r="O23" t="s">
        <v>168</v>
      </c>
      <c r="P23">
        <v>4212.2357808942761</v>
      </c>
    </row>
    <row r="24" spans="1:19" x14ac:dyDescent="0.45">
      <c r="A24" t="s">
        <v>93</v>
      </c>
      <c r="B24">
        <f t="shared" si="0"/>
        <v>62312.07421875</v>
      </c>
      <c r="C24">
        <f>VLOOKUP(A24,'2025'!$B$2:$H$105,2,FALSE)/100</f>
        <v>8.199999999999999E-2</v>
      </c>
      <c r="D24">
        <f t="shared" si="1"/>
        <v>29315.724609375</v>
      </c>
      <c r="E24">
        <f>VLOOKUP(A24,'2015'!$B$2:$H$122,2,FALSE)/100</f>
        <v>7.400000000000001E-2</v>
      </c>
      <c r="J24" t="s">
        <v>84</v>
      </c>
      <c r="K24" t="s">
        <v>169</v>
      </c>
      <c r="L24">
        <v>42224.444535951698</v>
      </c>
      <c r="N24" t="s">
        <v>84</v>
      </c>
      <c r="O24" t="s">
        <v>169</v>
      </c>
      <c r="P24">
        <v>17652.947096756332</v>
      </c>
    </row>
    <row r="25" spans="1:19" x14ac:dyDescent="0.45">
      <c r="A25" t="s">
        <v>219</v>
      </c>
      <c r="B25">
        <f t="shared" si="0"/>
        <v>57285.423700137915</v>
      </c>
      <c r="C25" t="e">
        <f>VLOOKUP(A25,'2025'!$B$2:$H$105,2,FALSE)/100</f>
        <v>#N/A</v>
      </c>
      <c r="D25">
        <f t="shared" si="1"/>
        <v>34093.028059374767</v>
      </c>
      <c r="E25" t="e">
        <f>VLOOKUP(A25,'2015'!$B$2:$H$122,2,FALSE)/100</f>
        <v>#N/A</v>
      </c>
      <c r="J25" t="s">
        <v>125</v>
      </c>
      <c r="K25" t="s">
        <v>170</v>
      </c>
      <c r="L25">
        <v>66941.243036798929</v>
      </c>
      <c r="N25" t="s">
        <v>125</v>
      </c>
      <c r="O25" t="s">
        <v>170</v>
      </c>
      <c r="P25">
        <v>48034.246888050344</v>
      </c>
    </row>
    <row r="26" spans="1:19" x14ac:dyDescent="0.45">
      <c r="A26" t="s">
        <v>106</v>
      </c>
      <c r="B26">
        <f t="shared" si="0"/>
        <v>81878.234984918134</v>
      </c>
      <c r="C26">
        <f>VLOOKUP(A26,'2025'!$B$2:$H$105,2,FALSE)/100</f>
        <v>6.5000000000000002E-2</v>
      </c>
      <c r="D26">
        <f t="shared" si="1"/>
        <v>48897.209977661121</v>
      </c>
      <c r="E26">
        <f>VLOOKUP(A26,'2015'!$B$2:$H$122,2,FALSE)/100</f>
        <v>0.05</v>
      </c>
      <c r="J26" t="s">
        <v>171</v>
      </c>
      <c r="K26" t="s">
        <v>172</v>
      </c>
      <c r="L26">
        <v>41197.934254847678</v>
      </c>
      <c r="N26" t="s">
        <v>171</v>
      </c>
      <c r="O26" t="s">
        <v>172</v>
      </c>
      <c r="P26">
        <v>32137.578472990499</v>
      </c>
    </row>
    <row r="27" spans="1:19" x14ac:dyDescent="0.45">
      <c r="A27" t="s">
        <v>32</v>
      </c>
      <c r="B27">
        <f t="shared" si="0"/>
        <v>27541.662528338416</v>
      </c>
      <c r="C27">
        <f>VLOOKUP(A27,'2025'!$B$2:$H$105,2,FALSE)/100</f>
        <v>0.16500000000000001</v>
      </c>
      <c r="D27">
        <f t="shared" si="1"/>
        <v>14804.097406965937</v>
      </c>
      <c r="E27">
        <f>VLOOKUP(A27,'2015'!$B$2:$H$122,2,FALSE)/100</f>
        <v>0.115</v>
      </c>
      <c r="J27" t="s">
        <v>173</v>
      </c>
      <c r="K27" t="s">
        <v>174</v>
      </c>
      <c r="L27">
        <v>23345.496800010747</v>
      </c>
      <c r="N27" t="s">
        <v>173</v>
      </c>
      <c r="O27" t="s">
        <v>174</v>
      </c>
      <c r="P27">
        <v>11066.154068834705</v>
      </c>
    </row>
    <row r="28" spans="1:19" x14ac:dyDescent="0.45">
      <c r="A28" t="s">
        <v>68</v>
      </c>
      <c r="B28">
        <f t="shared" si="0"/>
        <v>15840.266856741184</v>
      </c>
      <c r="C28">
        <f>VLOOKUP(A28,'2025'!$B$2:$H$105,2,FALSE)/100</f>
        <v>0.11900000000000001</v>
      </c>
      <c r="D28">
        <f t="shared" si="1"/>
        <v>10877.750746138814</v>
      </c>
      <c r="E28">
        <f>VLOOKUP(A28,'2015'!$B$2:$H$122,2,FALSE)/100</f>
        <v>0.14699999999999999</v>
      </c>
      <c r="J28" t="s">
        <v>59</v>
      </c>
      <c r="K28" t="s">
        <v>175</v>
      </c>
      <c r="L28">
        <v>33010.330760535726</v>
      </c>
      <c r="N28" t="s">
        <v>59</v>
      </c>
      <c r="O28" t="s">
        <v>175</v>
      </c>
      <c r="P28">
        <v>18133.531308588295</v>
      </c>
    </row>
    <row r="29" spans="1:19" x14ac:dyDescent="0.45">
      <c r="A29" t="s">
        <v>240</v>
      </c>
      <c r="B29">
        <f t="shared" si="0"/>
        <v>19094.144944411131</v>
      </c>
      <c r="C29" t="e">
        <f>VLOOKUP(A29,'2025'!$B$2:$H$105,2,FALSE)/100</f>
        <v>#N/A</v>
      </c>
      <c r="D29">
        <f t="shared" si="1"/>
        <v>10903.336823118485</v>
      </c>
      <c r="E29" t="e">
        <f>VLOOKUP(A29,'2015'!$B$2:$H$122,2,FALSE)/100</f>
        <v>#N/A</v>
      </c>
      <c r="J29" t="s">
        <v>131</v>
      </c>
      <c r="K29" t="s">
        <v>176</v>
      </c>
      <c r="L29">
        <v>14346.518804973712</v>
      </c>
      <c r="N29" t="s">
        <v>131</v>
      </c>
      <c r="O29" t="s">
        <v>176</v>
      </c>
      <c r="P29">
        <v>9538.3869114600875</v>
      </c>
    </row>
    <row r="30" spans="1:19" x14ac:dyDescent="0.45">
      <c r="A30" t="s">
        <v>30</v>
      </c>
      <c r="B30">
        <f t="shared" si="0"/>
        <v>13264.027090968028</v>
      </c>
      <c r="C30">
        <f>VLOOKUP(A30,'2025'!$B$2:$H$105,2,FALSE)/100</f>
        <v>0.17499999999999999</v>
      </c>
      <c r="D30">
        <f t="shared" si="1"/>
        <v>7933.7369785899909</v>
      </c>
      <c r="E30">
        <f>VLOOKUP(A30,'2015'!$B$2:$H$122,2,FALSE)/100</f>
        <v>0.254</v>
      </c>
      <c r="J30" t="s">
        <v>177</v>
      </c>
      <c r="K30" t="s">
        <v>178</v>
      </c>
      <c r="L30">
        <v>124252.83570258624</v>
      </c>
      <c r="N30" t="s">
        <v>177</v>
      </c>
      <c r="O30" t="s">
        <v>178</v>
      </c>
      <c r="P30">
        <v>75943.464297092243</v>
      </c>
    </row>
    <row r="31" spans="1:19" x14ac:dyDescent="0.45">
      <c r="A31" t="s">
        <v>71</v>
      </c>
      <c r="B31">
        <f t="shared" si="0"/>
        <v>49968.710827837298</v>
      </c>
      <c r="C31">
        <f>VLOOKUP(A31,'2025'!$B$2:$H$105,2,FALSE)/100</f>
        <v>0.114</v>
      </c>
      <c r="D31">
        <f t="shared" si="1"/>
        <v>29712.629947372814</v>
      </c>
      <c r="E31">
        <f>VLOOKUP(A31,'2015'!$B$2:$H$122,2,FALSE)/100</f>
        <v>0.11599999999999999</v>
      </c>
      <c r="J31" t="s">
        <v>67</v>
      </c>
      <c r="K31" t="s">
        <v>179</v>
      </c>
      <c r="L31">
        <v>12877.635118437232</v>
      </c>
      <c r="N31" t="s">
        <v>67</v>
      </c>
      <c r="O31" t="s">
        <v>179</v>
      </c>
      <c r="P31">
        <v>8757.3177711540648</v>
      </c>
    </row>
    <row r="32" spans="1:19" x14ac:dyDescent="0.45">
      <c r="A32" t="s">
        <v>11</v>
      </c>
      <c r="B32">
        <f t="shared" si="0"/>
        <v>3287.5349215889282</v>
      </c>
      <c r="C32">
        <f>VLOOKUP(A32,'2025'!$B$2:$H$105,2,FALSE)/100</f>
        <v>0.47100000000000003</v>
      </c>
      <c r="D32">
        <f t="shared" si="1"/>
        <v>1632.6181800683673</v>
      </c>
      <c r="E32">
        <f>VLOOKUP(A32,'2015'!$B$2:$H$122,2,FALSE)/100</f>
        <v>0.154</v>
      </c>
      <c r="J32" t="s">
        <v>37</v>
      </c>
      <c r="K32" t="s">
        <v>180</v>
      </c>
      <c r="L32">
        <v>22338.476564063538</v>
      </c>
      <c r="N32" t="s">
        <v>37</v>
      </c>
      <c r="O32" t="s">
        <v>180</v>
      </c>
      <c r="P32">
        <v>14821.438317518334</v>
      </c>
    </row>
    <row r="33" spans="1:16" x14ac:dyDescent="0.45">
      <c r="A33" t="s">
        <v>95</v>
      </c>
      <c r="B33">
        <f t="shared" si="0"/>
        <v>65378.384185972063</v>
      </c>
      <c r="C33">
        <f>VLOOKUP(A33,'2025'!$B$2:$H$105,2,FALSE)/100</f>
        <v>0.08</v>
      </c>
      <c r="D33">
        <f t="shared" si="1"/>
        <v>42257.859379129681</v>
      </c>
      <c r="E33">
        <f>VLOOKUP(A33,'2015'!$B$2:$H$122,2,FALSE)/100</f>
        <v>7.0000000000000007E-2</v>
      </c>
      <c r="J33" t="s">
        <v>181</v>
      </c>
      <c r="K33" t="s">
        <v>182</v>
      </c>
      <c r="L33">
        <v>24822.534330990835</v>
      </c>
      <c r="N33" t="s">
        <v>181</v>
      </c>
      <c r="O33" t="s">
        <v>182</v>
      </c>
      <c r="P33">
        <v>19185.518640792416</v>
      </c>
    </row>
    <row r="34" spans="1:16" x14ac:dyDescent="0.45">
      <c r="A34" t="s">
        <v>80</v>
      </c>
      <c r="B34">
        <f t="shared" si="0"/>
        <v>62556.918104540004</v>
      </c>
      <c r="C34">
        <f>VLOOKUP(A34,'2025'!$B$2:$H$105,2,FALSE)/100</f>
        <v>0.10300000000000001</v>
      </c>
      <c r="D34">
        <f t="shared" si="1"/>
        <v>40905.17677509936</v>
      </c>
      <c r="E34">
        <f>VLOOKUP(A34,'2015'!$B$2:$H$122,2,FALSE)/100</f>
        <v>9.6999999999999989E-2</v>
      </c>
      <c r="J34" t="s">
        <v>183</v>
      </c>
      <c r="K34" t="s">
        <v>184</v>
      </c>
      <c r="L34">
        <v>89879.36149807577</v>
      </c>
      <c r="N34" t="s">
        <v>183</v>
      </c>
      <c r="O34" t="s">
        <v>184</v>
      </c>
      <c r="P34">
        <v>62707.826443774102</v>
      </c>
    </row>
    <row r="35" spans="1:16" x14ac:dyDescent="0.45">
      <c r="A35" t="s">
        <v>62</v>
      </c>
      <c r="B35">
        <f t="shared" ref="B35:B66" si="2">VLOOKUP(A35,$J$3:$L$268,3,FALSE)</f>
        <v>28285.073280298224</v>
      </c>
      <c r="C35">
        <f>VLOOKUP(A35,'2025'!$B$2:$H$105,2,FALSE)/100</f>
        <v>0.127</v>
      </c>
      <c r="D35">
        <f t="shared" si="1"/>
        <v>12269.652893276785</v>
      </c>
      <c r="E35">
        <f>VLOOKUP(A35,'2015'!$B$2:$H$122,2,FALSE)/100</f>
        <v>0.152</v>
      </c>
      <c r="J35" t="s">
        <v>185</v>
      </c>
      <c r="K35" t="s">
        <v>186</v>
      </c>
      <c r="N35" t="s">
        <v>185</v>
      </c>
      <c r="O35" t="s">
        <v>186</v>
      </c>
      <c r="P35">
        <v>10213.813960892168</v>
      </c>
    </row>
    <row r="36" spans="1:16" x14ac:dyDescent="0.45">
      <c r="A36" t="s">
        <v>85</v>
      </c>
      <c r="B36">
        <f t="shared" si="2"/>
        <v>73551.934769683605</v>
      </c>
      <c r="C36">
        <f>VLOOKUP(A36,'2025'!$B$2:$H$105,2,FALSE)/100</f>
        <v>8.900000000000001E-2</v>
      </c>
      <c r="D36">
        <f t="shared" si="1"/>
        <v>48545.40072196204</v>
      </c>
      <c r="E36">
        <f>VLOOKUP(A36,'2015'!$B$2:$H$122,2,FALSE)/100</f>
        <v>6.6000000000000003E-2</v>
      </c>
      <c r="J36" t="s">
        <v>120</v>
      </c>
      <c r="K36" t="s">
        <v>187</v>
      </c>
      <c r="L36">
        <v>20538.132017888911</v>
      </c>
      <c r="N36" t="s">
        <v>120</v>
      </c>
      <c r="O36" t="s">
        <v>187</v>
      </c>
      <c r="P36">
        <v>14143.694073372764</v>
      </c>
    </row>
    <row r="37" spans="1:16" x14ac:dyDescent="0.45">
      <c r="A37" t="s">
        <v>57</v>
      </c>
      <c r="B37">
        <f t="shared" si="2"/>
        <v>44327.209780827565</v>
      </c>
      <c r="C37">
        <f>VLOOKUP(A37,'2025'!$B$2:$H$105,2,FALSE)/100</f>
        <v>0.13</v>
      </c>
      <c r="D37">
        <f t="shared" si="1"/>
        <v>26607.725679697571</v>
      </c>
      <c r="E37">
        <f>VLOOKUP(A37,'2015'!$B$2:$H$122,2,FALSE)/100</f>
        <v>9.6999999999999989E-2</v>
      </c>
      <c r="J37" t="s">
        <v>188</v>
      </c>
      <c r="K37" t="s">
        <v>189</v>
      </c>
      <c r="L37">
        <v>1263.1023421369896</v>
      </c>
      <c r="N37" t="s">
        <v>188</v>
      </c>
      <c r="O37" t="s">
        <v>189</v>
      </c>
      <c r="P37">
        <v>768.87088799917353</v>
      </c>
    </row>
    <row r="38" spans="1:16" x14ac:dyDescent="0.45">
      <c r="A38" t="s">
        <v>288</v>
      </c>
      <c r="B38">
        <f t="shared" si="2"/>
        <v>75195.986597061506</v>
      </c>
      <c r="C38" t="e">
        <f>VLOOKUP(A38,'2025'!$B$2:$H$105,2,FALSE)/100</f>
        <v>#N/A</v>
      </c>
      <c r="D38">
        <f t="shared" si="1"/>
        <v>56043.042695697033</v>
      </c>
      <c r="E38" t="e">
        <f>VLOOKUP(A38,'2015'!$B$2:$H$122,2,FALSE)/100</f>
        <v>#N/A</v>
      </c>
      <c r="J38" t="s">
        <v>81</v>
      </c>
      <c r="K38" t="s">
        <v>190</v>
      </c>
      <c r="L38">
        <v>64610.379517197114</v>
      </c>
      <c r="N38" t="s">
        <v>81</v>
      </c>
      <c r="O38" t="s">
        <v>190</v>
      </c>
      <c r="P38">
        <v>44668.091281430337</v>
      </c>
    </row>
    <row r="39" spans="1:16" x14ac:dyDescent="0.45">
      <c r="A39" t="s">
        <v>56</v>
      </c>
      <c r="B39">
        <f t="shared" si="2"/>
        <v>48552.47080925294</v>
      </c>
      <c r="C39">
        <f>VLOOKUP(A39,'2025'!$B$2:$H$105,2,FALSE)/100</f>
        <v>0.13</v>
      </c>
      <c r="D39">
        <f t="shared" si="1"/>
        <v>26937.732081886443</v>
      </c>
      <c r="E39">
        <f>VLOOKUP(A39,'2015'!$B$2:$H$122,2,FALSE)/100</f>
        <v>8.5999999999999993E-2</v>
      </c>
      <c r="J39" t="s">
        <v>191</v>
      </c>
      <c r="K39" t="s">
        <v>192</v>
      </c>
      <c r="L39">
        <v>50599.211687955554</v>
      </c>
      <c r="N39" t="s">
        <v>191</v>
      </c>
      <c r="O39" t="s">
        <v>192</v>
      </c>
      <c r="P39">
        <v>25780.238867344793</v>
      </c>
    </row>
    <row r="40" spans="1:16" x14ac:dyDescent="0.45">
      <c r="A40" t="s">
        <v>104</v>
      </c>
      <c r="B40">
        <f t="shared" si="2"/>
        <v>84256.845457311152</v>
      </c>
      <c r="C40">
        <f>VLOOKUP(A40,'2025'!$B$2:$H$105,2,FALSE)/100</f>
        <v>6.7000000000000004E-2</v>
      </c>
      <c r="D40">
        <f t="shared" si="1"/>
        <v>49201.064096455295</v>
      </c>
      <c r="E40">
        <f>VLOOKUP(A40,'2015'!$B$2:$H$122,2,FALSE)/100</f>
        <v>5.5999999999999994E-2</v>
      </c>
      <c r="J40" t="s">
        <v>75</v>
      </c>
      <c r="K40" t="s">
        <v>193</v>
      </c>
      <c r="L40">
        <v>96497.694797132295</v>
      </c>
      <c r="N40" t="s">
        <v>75</v>
      </c>
      <c r="O40" t="s">
        <v>193</v>
      </c>
      <c r="P40">
        <v>65265.045733559971</v>
      </c>
    </row>
    <row r="41" spans="1:16" x14ac:dyDescent="0.45">
      <c r="A41" t="s">
        <v>76</v>
      </c>
      <c r="B41">
        <f t="shared" si="2"/>
        <v>11159.985647609126</v>
      </c>
      <c r="C41">
        <f>VLOOKUP(A41,'2025'!$B$2:$H$105,2,FALSE)/100</f>
        <v>0.109</v>
      </c>
      <c r="D41">
        <f t="shared" si="1"/>
        <v>5425.0359909104618</v>
      </c>
      <c r="E41">
        <f>VLOOKUP(A41,'2015'!$B$2:$H$122,2,FALSE)/100</f>
        <v>0.10099999999999999</v>
      </c>
      <c r="J41" t="s">
        <v>194</v>
      </c>
      <c r="K41" t="s">
        <v>195</v>
      </c>
      <c r="N41" t="s">
        <v>194</v>
      </c>
      <c r="O41" t="s">
        <v>195</v>
      </c>
    </row>
    <row r="42" spans="1:16" x14ac:dyDescent="0.45">
      <c r="A42" t="s">
        <v>40</v>
      </c>
      <c r="B42">
        <f t="shared" si="2"/>
        <v>16448.275517955855</v>
      </c>
      <c r="C42">
        <f>VLOOKUP(A42,'2025'!$B$2:$H$105,2,FALSE)/100</f>
        <v>0.14899999999999999</v>
      </c>
      <c r="D42">
        <f t="shared" si="1"/>
        <v>10027.537299602549</v>
      </c>
      <c r="E42">
        <f>VLOOKUP(A42,'2015'!$B$2:$H$122,2,FALSE)/100</f>
        <v>0.18899999999999997</v>
      </c>
      <c r="J42" t="s">
        <v>34</v>
      </c>
      <c r="K42" t="s">
        <v>196</v>
      </c>
      <c r="L42">
        <v>36181.156616977023</v>
      </c>
      <c r="N42" t="s">
        <v>34</v>
      </c>
      <c r="O42" t="s">
        <v>196</v>
      </c>
      <c r="P42">
        <v>22468.312574554722</v>
      </c>
    </row>
    <row r="43" spans="1:16" x14ac:dyDescent="0.45">
      <c r="A43" t="s">
        <v>314</v>
      </c>
      <c r="B43">
        <f t="shared" si="2"/>
        <v>19873.88608538052</v>
      </c>
      <c r="C43" t="e">
        <f>VLOOKUP(A43,'2025'!$B$2:$H$105,2,FALSE)/100</f>
        <v>#N/A</v>
      </c>
      <c r="D43">
        <f t="shared" si="1"/>
        <v>14273.549906158638</v>
      </c>
      <c r="E43" t="e">
        <f>VLOOKUP(A43,'2015'!$B$2:$H$122,2,FALSE)/100</f>
        <v>#N/A</v>
      </c>
      <c r="J43" t="s">
        <v>16</v>
      </c>
      <c r="K43" t="s">
        <v>197</v>
      </c>
      <c r="L43">
        <v>27104.870267746301</v>
      </c>
      <c r="N43" t="s">
        <v>16</v>
      </c>
      <c r="O43" t="s">
        <v>197</v>
      </c>
      <c r="P43">
        <v>13463.333151110473</v>
      </c>
    </row>
    <row r="44" spans="1:16" x14ac:dyDescent="0.45">
      <c r="A44" t="s">
        <v>91</v>
      </c>
      <c r="B44">
        <f t="shared" si="2"/>
        <v>14464.31869281728</v>
      </c>
      <c r="C44">
        <f>VLOOKUP(A44,'2025'!$B$2:$H$105,2,FALSE)/100</f>
        <v>8.4000000000000005E-2</v>
      </c>
      <c r="D44">
        <f t="shared" si="1"/>
        <v>9334.4660486631528</v>
      </c>
      <c r="E44">
        <f>VLOOKUP(A44,'2015'!$B$2:$H$122,2,FALSE)/100</f>
        <v>8.900000000000001E-2</v>
      </c>
      <c r="J44" t="s">
        <v>198</v>
      </c>
      <c r="K44" t="s">
        <v>199</v>
      </c>
      <c r="L44">
        <v>7669.2319571568687</v>
      </c>
      <c r="N44" t="s">
        <v>198</v>
      </c>
      <c r="O44" t="s">
        <v>199</v>
      </c>
      <c r="P44">
        <v>4403.6429661899847</v>
      </c>
    </row>
    <row r="45" spans="1:16" x14ac:dyDescent="0.45">
      <c r="A45" t="s">
        <v>103</v>
      </c>
      <c r="B45">
        <f t="shared" si="2"/>
        <v>133437.47011701888</v>
      </c>
      <c r="C45">
        <f>VLOOKUP(A45,'2025'!$B$2:$H$105,2,FALSE)/100</f>
        <v>6.7000000000000004E-2</v>
      </c>
      <c r="D45">
        <f t="shared" si="1"/>
        <v>71588.265663837767</v>
      </c>
      <c r="E45">
        <f>VLOOKUP(A45,'2015'!$B$2:$H$122,2,FALSE)/100</f>
        <v>6.0999999999999999E-2</v>
      </c>
      <c r="J45" t="s">
        <v>12</v>
      </c>
      <c r="K45" t="s">
        <v>200</v>
      </c>
      <c r="L45">
        <v>5588.9864586194471</v>
      </c>
      <c r="N45" t="s">
        <v>12</v>
      </c>
      <c r="O45" t="s">
        <v>200</v>
      </c>
      <c r="P45">
        <v>3497.6606756395859</v>
      </c>
    </row>
    <row r="46" spans="1:16" x14ac:dyDescent="0.45">
      <c r="A46" t="s">
        <v>46</v>
      </c>
      <c r="B46">
        <f t="shared" si="2"/>
        <v>57235.776324413557</v>
      </c>
      <c r="C46">
        <f>VLOOKUP(A46,'2025'!$B$2:$H$105,2,FALSE)/100</f>
        <v>0.13699999999999998</v>
      </c>
      <c r="D46">
        <f t="shared" si="1"/>
        <v>35870.792715630116</v>
      </c>
      <c r="E46">
        <f>VLOOKUP(A46,'2015'!$B$2:$H$122,2,FALSE)/100</f>
        <v>0.107</v>
      </c>
      <c r="J46" t="s">
        <v>201</v>
      </c>
      <c r="K46" t="s">
        <v>202</v>
      </c>
      <c r="L46">
        <v>1821.0486871805758</v>
      </c>
      <c r="N46" t="s">
        <v>201</v>
      </c>
      <c r="O46" t="s">
        <v>202</v>
      </c>
      <c r="P46">
        <v>910.39313163865666</v>
      </c>
    </row>
    <row r="47" spans="1:16" x14ac:dyDescent="0.45">
      <c r="A47" t="s">
        <v>83</v>
      </c>
      <c r="B47">
        <f t="shared" si="2"/>
        <v>62014.26751536892</v>
      </c>
      <c r="C47">
        <f>VLOOKUP(A47,'2025'!$B$2:$H$105,2,FALSE)/100</f>
        <v>9.5000000000000001E-2</v>
      </c>
      <c r="D47">
        <f t="shared" si="1"/>
        <v>37384.37964554059</v>
      </c>
      <c r="E47">
        <f>VLOOKUP(A47,'2015'!$B$2:$H$122,2,FALSE)/100</f>
        <v>0.11699999999999999</v>
      </c>
      <c r="J47" t="s">
        <v>203</v>
      </c>
      <c r="K47" t="s">
        <v>204</v>
      </c>
      <c r="L47">
        <v>7026.3622328149395</v>
      </c>
      <c r="N47" t="s">
        <v>203</v>
      </c>
      <c r="O47" t="s">
        <v>204</v>
      </c>
      <c r="P47">
        <v>4715.1343158162426</v>
      </c>
    </row>
    <row r="48" spans="1:16" x14ac:dyDescent="0.45">
      <c r="A48" t="s">
        <v>66</v>
      </c>
      <c r="B48">
        <f t="shared" si="2"/>
        <v>52039.171655161132</v>
      </c>
      <c r="C48">
        <f>VLOOKUP(A48,'2025'!$B$2:$H$105,2,FALSE)/100</f>
        <v>0.122</v>
      </c>
      <c r="D48">
        <f t="shared" si="1"/>
        <v>40898.806973960003</v>
      </c>
      <c r="E48">
        <f>VLOOKUP(A48,'2015'!$B$2:$H$122,2,FALSE)/100</f>
        <v>9.1999999999999998E-2</v>
      </c>
      <c r="J48" t="s">
        <v>28</v>
      </c>
      <c r="K48" t="s">
        <v>205</v>
      </c>
      <c r="L48">
        <v>22349.436440122994</v>
      </c>
      <c r="N48" t="s">
        <v>28</v>
      </c>
      <c r="O48" t="s">
        <v>205</v>
      </c>
      <c r="P48">
        <v>13332.055504821143</v>
      </c>
    </row>
    <row r="49" spans="1:16" x14ac:dyDescent="0.45">
      <c r="A49" t="s">
        <v>101</v>
      </c>
      <c r="B49">
        <f t="shared" si="2"/>
        <v>10821.490976531695</v>
      </c>
      <c r="C49">
        <f>VLOOKUP(A49,'2025'!$B$2:$H$105,2,FALSE)/100</f>
        <v>7.0000000000000007E-2</v>
      </c>
      <c r="D49">
        <f t="shared" si="1"/>
        <v>8967.0799583780827</v>
      </c>
      <c r="E49">
        <f>VLOOKUP(A49,'2015'!$B$2:$H$122,2,FALSE)/100</f>
        <v>8.5999999999999993E-2</v>
      </c>
      <c r="J49" t="s">
        <v>206</v>
      </c>
      <c r="K49" t="s">
        <v>207</v>
      </c>
      <c r="L49">
        <v>3958.5322878968741</v>
      </c>
      <c r="N49" t="s">
        <v>206</v>
      </c>
      <c r="O49" t="s">
        <v>207</v>
      </c>
      <c r="P49">
        <v>2949.4734224099275</v>
      </c>
    </row>
    <row r="50" spans="1:16" x14ac:dyDescent="0.45">
      <c r="A50" t="s">
        <v>82</v>
      </c>
      <c r="B50">
        <f t="shared" si="2"/>
        <v>40890.931769440824</v>
      </c>
      <c r="C50">
        <f>VLOOKUP(A50,'2025'!$B$2:$H$105,2,FALSE)/100</f>
        <v>9.9000000000000005E-2</v>
      </c>
      <c r="D50">
        <f t="shared" si="1"/>
        <v>22484.365138260669</v>
      </c>
      <c r="E50">
        <f>VLOOKUP(A50,'2015'!$B$2:$H$122,2,FALSE)/100</f>
        <v>0.127</v>
      </c>
      <c r="J50" t="s">
        <v>208</v>
      </c>
      <c r="K50" t="s">
        <v>209</v>
      </c>
      <c r="L50">
        <v>11195.120531292341</v>
      </c>
      <c r="N50" t="s">
        <v>208</v>
      </c>
      <c r="O50" t="s">
        <v>209</v>
      </c>
      <c r="P50">
        <v>6773.4867996938583</v>
      </c>
    </row>
    <row r="51" spans="1:16" x14ac:dyDescent="0.45">
      <c r="A51" t="s">
        <v>332</v>
      </c>
      <c r="B51">
        <f t="shared" si="2"/>
        <v>61051.349250249827</v>
      </c>
      <c r="C51" t="e">
        <f>VLOOKUP(A51,'2025'!$B$2:$H$105,2,FALSE)/100</f>
        <v>#N/A</v>
      </c>
      <c r="D51">
        <f t="shared" si="1"/>
        <v>39794.196118004278</v>
      </c>
      <c r="E51" t="e">
        <f>VLOOKUP(A51,'2015'!$B$2:$H$122,2,FALSE)/100</f>
        <v>#N/A</v>
      </c>
      <c r="J51" t="s">
        <v>79</v>
      </c>
      <c r="K51" t="s">
        <v>210</v>
      </c>
      <c r="L51">
        <v>31106.764355672858</v>
      </c>
      <c r="N51" t="s">
        <v>79</v>
      </c>
      <c r="O51" t="s">
        <v>210</v>
      </c>
      <c r="P51">
        <v>17525.140462514501</v>
      </c>
    </row>
    <row r="52" spans="1:16" x14ac:dyDescent="0.45">
      <c r="A52" t="s">
        <v>99</v>
      </c>
      <c r="B52">
        <f t="shared" si="2"/>
        <v>52443.596922362623</v>
      </c>
      <c r="C52">
        <f>VLOOKUP(A52,'2025'!$B$2:$H$105,2,FALSE)/100</f>
        <v>7.2999999999999995E-2</v>
      </c>
      <c r="D52">
        <f t="shared" si="1"/>
        <v>45267.308534745178</v>
      </c>
      <c r="E52">
        <f>VLOOKUP(A52,'2015'!$B$2:$H$122,2,FALSE)/100</f>
        <v>6.0999999999999999E-2</v>
      </c>
      <c r="J52" t="s">
        <v>211</v>
      </c>
      <c r="K52" t="s">
        <v>212</v>
      </c>
      <c r="L52">
        <v>38624.060544169784</v>
      </c>
      <c r="N52" t="s">
        <v>211</v>
      </c>
      <c r="O52" t="s">
        <v>212</v>
      </c>
      <c r="P52">
        <v>20632.337685164533</v>
      </c>
    </row>
    <row r="53" spans="1:16" x14ac:dyDescent="0.45">
      <c r="A53" t="s">
        <v>325</v>
      </c>
      <c r="B53">
        <f t="shared" si="2"/>
        <v>8012.4546444219386</v>
      </c>
      <c r="C53" t="e">
        <f>VLOOKUP(A53,'2025'!$B$2:$H$105,2,FALSE)/100</f>
        <v>#N/A</v>
      </c>
      <c r="D53">
        <f t="shared" si="1"/>
        <v>4153.3766990372033</v>
      </c>
      <c r="E53" t="e">
        <f>VLOOKUP(A53,'2015'!$B$2:$H$122,2,FALSE)/100</f>
        <v>#N/A</v>
      </c>
      <c r="J53" t="s">
        <v>10</v>
      </c>
      <c r="K53" t="s">
        <v>213</v>
      </c>
      <c r="N53" t="s">
        <v>10</v>
      </c>
      <c r="O53" t="s">
        <v>213</v>
      </c>
    </row>
    <row r="54" spans="1:16" x14ac:dyDescent="0.45">
      <c r="A54" t="s">
        <v>89</v>
      </c>
      <c r="B54">
        <f t="shared" si="2"/>
        <v>43394.273282231392</v>
      </c>
      <c r="C54">
        <f>VLOOKUP(A54,'2025'!$B$2:$H$105,2,FALSE)/100</f>
        <v>8.5999999999999993E-2</v>
      </c>
      <c r="D54">
        <f t="shared" si="1"/>
        <v>22543.918316410469</v>
      </c>
      <c r="E54">
        <f>VLOOKUP(A54,'2015'!$B$2:$H$122,2,FALSE)/100</f>
        <v>0.122</v>
      </c>
      <c r="J54" t="s">
        <v>214</v>
      </c>
      <c r="K54" t="s">
        <v>215</v>
      </c>
      <c r="L54">
        <v>32693.293976489305</v>
      </c>
      <c r="N54" t="s">
        <v>214</v>
      </c>
      <c r="O54" t="s">
        <v>215</v>
      </c>
      <c r="P54">
        <v>24037.648578273474</v>
      </c>
    </row>
    <row r="55" spans="1:16" x14ac:dyDescent="0.45">
      <c r="A55" t="s">
        <v>63</v>
      </c>
      <c r="B55">
        <f t="shared" si="2"/>
        <v>55285.899193430414</v>
      </c>
      <c r="C55">
        <f>VLOOKUP(A55,'2025'!$B$2:$H$105,2,FALSE)/100</f>
        <v>0.124</v>
      </c>
      <c r="D55">
        <f t="shared" si="1"/>
        <v>26948.591937164463</v>
      </c>
      <c r="E55">
        <f>VLOOKUP(A55,'2015'!$B$2:$H$122,2,FALSE)/100</f>
        <v>0.129</v>
      </c>
      <c r="J55" t="s">
        <v>216</v>
      </c>
      <c r="K55" t="s">
        <v>217</v>
      </c>
      <c r="N55" t="s">
        <v>216</v>
      </c>
      <c r="O55" t="s">
        <v>217</v>
      </c>
      <c r="P55">
        <v>64009.317104546441</v>
      </c>
    </row>
    <row r="56" spans="1:16" x14ac:dyDescent="0.45">
      <c r="A56" t="s">
        <v>88</v>
      </c>
      <c r="B56">
        <f t="shared" si="2"/>
        <v>155941.28821079066</v>
      </c>
      <c r="C56">
        <f>VLOOKUP(A56,'2025'!$B$2:$H$105,2,FALSE)/100</f>
        <v>8.5999999999999993E-2</v>
      </c>
      <c r="D56">
        <f t="shared" si="1"/>
        <v>107859.68599930758</v>
      </c>
      <c r="E56">
        <f>VLOOKUP(A56,'2015'!$B$2:$H$122,2,FALSE)/100</f>
        <v>8.3000000000000004E-2</v>
      </c>
      <c r="J56" t="s">
        <v>93</v>
      </c>
      <c r="K56" t="s">
        <v>218</v>
      </c>
      <c r="L56">
        <v>62312.07421875</v>
      </c>
      <c r="N56" t="s">
        <v>93</v>
      </c>
      <c r="O56" t="s">
        <v>218</v>
      </c>
      <c r="P56">
        <v>29315.724609375</v>
      </c>
    </row>
    <row r="57" spans="1:16" x14ac:dyDescent="0.45">
      <c r="A57" t="s">
        <v>87</v>
      </c>
      <c r="B57">
        <f t="shared" si="2"/>
        <v>38779.283044225274</v>
      </c>
      <c r="C57">
        <f>VLOOKUP(A57,'2025'!$B$2:$H$105,2,FALSE)/100</f>
        <v>8.6999999999999994E-2</v>
      </c>
      <c r="D57">
        <f t="shared" si="1"/>
        <v>24526.394271601155</v>
      </c>
      <c r="E57">
        <f>VLOOKUP(A57,'2015'!$B$2:$H$122,2,FALSE)/100</f>
        <v>8.4000000000000005E-2</v>
      </c>
      <c r="J57" t="s">
        <v>219</v>
      </c>
      <c r="K57" t="s">
        <v>220</v>
      </c>
      <c r="L57">
        <v>57285.423700137915</v>
      </c>
      <c r="N57" t="s">
        <v>219</v>
      </c>
      <c r="O57" t="s">
        <v>220</v>
      </c>
      <c r="P57">
        <v>34093.028059374767</v>
      </c>
    </row>
    <row r="58" spans="1:16" x14ac:dyDescent="0.45">
      <c r="A58" t="s">
        <v>72</v>
      </c>
      <c r="B58">
        <f t="shared" si="2"/>
        <v>71017.774425871685</v>
      </c>
      <c r="C58">
        <f>VLOOKUP(A58,'2025'!$B$2:$H$105,2,FALSE)/100</f>
        <v>0.11199999999999999</v>
      </c>
      <c r="D58">
        <f t="shared" si="1"/>
        <v>35844.478646050586</v>
      </c>
      <c r="E58">
        <f>VLOOKUP(A58,'2015'!$B$2:$H$122,2,FALSE)/100</f>
        <v>7.2000000000000008E-2</v>
      </c>
      <c r="J58" t="s">
        <v>85</v>
      </c>
      <c r="K58" t="s">
        <v>221</v>
      </c>
      <c r="L58">
        <v>73551.934769683605</v>
      </c>
      <c r="N58" t="s">
        <v>85</v>
      </c>
      <c r="O58" t="s">
        <v>221</v>
      </c>
      <c r="P58">
        <v>48545.40072196204</v>
      </c>
    </row>
    <row r="59" spans="1:16" x14ac:dyDescent="0.45">
      <c r="A59" t="s">
        <v>25</v>
      </c>
      <c r="B59">
        <f t="shared" si="2"/>
        <v>31839.759753552396</v>
      </c>
      <c r="C59">
        <f>VLOOKUP(A59,'2025'!$B$2:$H$105,2,FALSE)/100</f>
        <v>0.185</v>
      </c>
      <c r="D59">
        <f t="shared" si="1"/>
        <v>20269.523509561048</v>
      </c>
      <c r="E59">
        <f>VLOOKUP(A59,'2015'!$B$2:$H$122,2,FALSE)/100</f>
        <v>0.221</v>
      </c>
      <c r="J59" t="s">
        <v>222</v>
      </c>
      <c r="K59" t="s">
        <v>223</v>
      </c>
      <c r="L59">
        <v>7810.2786906679185</v>
      </c>
      <c r="N59" t="s">
        <v>222</v>
      </c>
      <c r="O59" t="s">
        <v>223</v>
      </c>
      <c r="P59">
        <v>4263.9628889045543</v>
      </c>
    </row>
    <row r="60" spans="1:16" x14ac:dyDescent="0.45">
      <c r="A60" t="s">
        <v>69</v>
      </c>
      <c r="B60">
        <f t="shared" si="2"/>
        <v>26185.356471325278</v>
      </c>
      <c r="C60">
        <f>VLOOKUP(A60,'2025'!$B$2:$H$105,2,FALSE)/100</f>
        <v>0.11800000000000001</v>
      </c>
      <c r="D60">
        <f t="shared" si="1"/>
        <v>19071.444419646581</v>
      </c>
      <c r="E60">
        <f>VLOOKUP(A60,'2015'!$B$2:$H$122,2,FALSE)/100</f>
        <v>6.3E-2</v>
      </c>
      <c r="J60" t="s">
        <v>224</v>
      </c>
      <c r="K60" t="s">
        <v>225</v>
      </c>
      <c r="L60">
        <v>21300.684869808898</v>
      </c>
      <c r="N60" t="s">
        <v>224</v>
      </c>
      <c r="O60" t="s">
        <v>225</v>
      </c>
      <c r="P60">
        <v>12092.731599267632</v>
      </c>
    </row>
    <row r="61" spans="1:16" x14ac:dyDescent="0.45">
      <c r="A61" t="s">
        <v>52</v>
      </c>
      <c r="B61">
        <f t="shared" si="2"/>
        <v>18614.988069120322</v>
      </c>
      <c r="C61">
        <f>VLOOKUP(A61,'2025'!$B$2:$H$105,2,FALSE)/100</f>
        <v>0.13300000000000001</v>
      </c>
      <c r="D61">
        <f t="shared" si="1"/>
        <v>9197.6183820427232</v>
      </c>
      <c r="E61">
        <f>VLOOKUP(A61,'2015'!$B$2:$H$122,2,FALSE)/100</f>
        <v>0.17100000000000001</v>
      </c>
      <c r="J61" t="s">
        <v>106</v>
      </c>
      <c r="K61" t="s">
        <v>226</v>
      </c>
      <c r="L61">
        <v>81878.234984918134</v>
      </c>
      <c r="N61" t="s">
        <v>106</v>
      </c>
      <c r="O61" t="s">
        <v>226</v>
      </c>
      <c r="P61">
        <v>48897.209977661121</v>
      </c>
    </row>
    <row r="62" spans="1:16" x14ac:dyDescent="0.45">
      <c r="A62" t="s">
        <v>58</v>
      </c>
      <c r="B62">
        <f t="shared" si="2"/>
        <v>34806.948319581694</v>
      </c>
      <c r="C62">
        <f>VLOOKUP(A62,'2025'!$B$2:$H$105,2,FALSE)/100</f>
        <v>0.129</v>
      </c>
      <c r="D62">
        <f t="shared" si="1"/>
        <v>15033.061265649618</v>
      </c>
      <c r="E62">
        <f>VLOOKUP(A62,'2015'!$B$2:$H$122,2,FALSE)/100</f>
        <v>0.161</v>
      </c>
      <c r="J62" t="s">
        <v>32</v>
      </c>
      <c r="K62" t="s">
        <v>227</v>
      </c>
      <c r="L62">
        <v>27541.662528338416</v>
      </c>
      <c r="N62" t="s">
        <v>32</v>
      </c>
      <c r="O62" t="s">
        <v>227</v>
      </c>
      <c r="P62">
        <v>14804.097406965937</v>
      </c>
    </row>
    <row r="63" spans="1:16" x14ac:dyDescent="0.45">
      <c r="A63" t="s">
        <v>51</v>
      </c>
      <c r="B63">
        <f t="shared" si="2"/>
        <v>10415.1240234375</v>
      </c>
      <c r="C63">
        <f>VLOOKUP(A63,'2025'!$B$2:$H$105,2,FALSE)/100</f>
        <v>0.13400000000000001</v>
      </c>
      <c r="D63">
        <f t="shared" si="1"/>
        <v>7799.09228515625</v>
      </c>
      <c r="E63">
        <f>VLOOKUP(A63,'2015'!$B$2:$H$122,2,FALSE)/100</f>
        <v>0.161</v>
      </c>
      <c r="J63" t="s">
        <v>31</v>
      </c>
      <c r="K63" t="s">
        <v>228</v>
      </c>
      <c r="L63">
        <v>17620.742395612582</v>
      </c>
      <c r="N63" t="s">
        <v>31</v>
      </c>
      <c r="O63" t="s">
        <v>228</v>
      </c>
      <c r="P63">
        <v>13807.351584147766</v>
      </c>
    </row>
    <row r="64" spans="1:16" x14ac:dyDescent="0.45">
      <c r="A64" t="s">
        <v>14</v>
      </c>
      <c r="B64">
        <f t="shared" si="2"/>
        <v>5736.6213433270359</v>
      </c>
      <c r="C64">
        <f>VLOOKUP(A64,'2025'!$B$2:$H$105,2,FALSE)/100</f>
        <v>0.32100000000000001</v>
      </c>
      <c r="D64">
        <f t="shared" si="1"/>
        <v>2957.3055914550432</v>
      </c>
      <c r="E64">
        <f>VLOOKUP(A64,'2015'!$B$2:$H$122,2,FALSE)/100</f>
        <v>0.19699999999999998</v>
      </c>
      <c r="J64" t="s">
        <v>229</v>
      </c>
      <c r="K64" t="s">
        <v>230</v>
      </c>
      <c r="L64">
        <v>23248.02517943682</v>
      </c>
      <c r="N64" t="s">
        <v>229</v>
      </c>
      <c r="O64" t="s">
        <v>230</v>
      </c>
      <c r="P64">
        <v>12146.381246446037</v>
      </c>
    </row>
    <row r="65" spans="1:16" x14ac:dyDescent="0.45">
      <c r="A65" t="s">
        <v>97</v>
      </c>
      <c r="B65">
        <f t="shared" si="2"/>
        <v>86173.629084173808</v>
      </c>
      <c r="C65">
        <f>VLOOKUP(A65,'2025'!$B$2:$H$105,2,FALSE)/100</f>
        <v>7.6999999999999999E-2</v>
      </c>
      <c r="D65">
        <f t="shared" si="1"/>
        <v>50956.693094218521</v>
      </c>
      <c r="E65">
        <f>VLOOKUP(A65,'2015'!$B$2:$H$122,2,FALSE)/100</f>
        <v>6.2E-2</v>
      </c>
      <c r="J65" t="s">
        <v>231</v>
      </c>
      <c r="K65" t="s">
        <v>232</v>
      </c>
      <c r="L65">
        <v>13995.405557695189</v>
      </c>
      <c r="N65" t="s">
        <v>231</v>
      </c>
      <c r="O65" t="s">
        <v>232</v>
      </c>
      <c r="P65">
        <v>8319.9135152490362</v>
      </c>
    </row>
    <row r="66" spans="1:16" x14ac:dyDescent="0.45">
      <c r="A66" t="s">
        <v>98</v>
      </c>
      <c r="B66">
        <f t="shared" si="2"/>
        <v>55551.143658637026</v>
      </c>
      <c r="C66">
        <f>VLOOKUP(A66,'2025'!$B$2:$H$105,2,FALSE)/100</f>
        <v>7.2999999999999995E-2</v>
      </c>
      <c r="D66">
        <f t="shared" si="1"/>
        <v>37513.296387244161</v>
      </c>
      <c r="E66">
        <f>VLOOKUP(A66,'2015'!$B$2:$H$122,2,FALSE)/100</f>
        <v>5.7999999999999996E-2</v>
      </c>
      <c r="J66" t="s">
        <v>233</v>
      </c>
      <c r="K66" t="s">
        <v>234</v>
      </c>
      <c r="L66">
        <v>27285.211234999329</v>
      </c>
      <c r="N66" t="s">
        <v>233</v>
      </c>
      <c r="O66" t="s">
        <v>234</v>
      </c>
      <c r="P66">
        <v>15476.316987781853</v>
      </c>
    </row>
    <row r="67" spans="1:16" x14ac:dyDescent="0.45">
      <c r="A67" t="s">
        <v>64</v>
      </c>
      <c r="B67">
        <f t="shared" ref="B67:B98" si="3">VLOOKUP(A67,$J$3:$L$268,3,FALSE)</f>
        <v>26986.568596749126</v>
      </c>
      <c r="C67">
        <f>VLOOKUP(A67,'2025'!$B$2:$H$105,2,FALSE)/100</f>
        <v>0.12300000000000001</v>
      </c>
      <c r="D67">
        <f t="shared" si="1"/>
        <v>14045.071137177483</v>
      </c>
      <c r="E67">
        <f>VLOOKUP(A67,'2015'!$B$2:$H$122,2,FALSE)/100</f>
        <v>0.154</v>
      </c>
      <c r="J67" t="s">
        <v>235</v>
      </c>
      <c r="K67" t="s">
        <v>236</v>
      </c>
      <c r="L67">
        <v>29316.460381090434</v>
      </c>
      <c r="N67" t="s">
        <v>235</v>
      </c>
      <c r="O67" t="s">
        <v>236</v>
      </c>
      <c r="P67">
        <v>16016.953479919377</v>
      </c>
    </row>
    <row r="68" spans="1:16" x14ac:dyDescent="0.45">
      <c r="A68" t="s">
        <v>92</v>
      </c>
      <c r="B68">
        <f t="shared" si="3"/>
        <v>102037.52680023712</v>
      </c>
      <c r="C68">
        <f>VLOOKUP(A68,'2025'!$B$2:$H$105,2,FALSE)/100</f>
        <v>8.4000000000000005E-2</v>
      </c>
      <c r="D68">
        <f t="shared" ref="D68:D98" si="4">VLOOKUP(A68,$N$3:$P$268,3,FALSE)</f>
        <v>60737.886813277903</v>
      </c>
      <c r="E68">
        <f>VLOOKUP(A68,'2015'!$B$2:$H$122,2,FALSE)/100</f>
        <v>7.6999999999999999E-2</v>
      </c>
      <c r="J68" t="s">
        <v>237</v>
      </c>
      <c r="K68" t="s">
        <v>238</v>
      </c>
      <c r="L68">
        <v>52469.957061641653</v>
      </c>
      <c r="N68" t="s">
        <v>237</v>
      </c>
      <c r="O68" t="s">
        <v>238</v>
      </c>
      <c r="P68">
        <v>30970.511094859947</v>
      </c>
    </row>
    <row r="69" spans="1:16" x14ac:dyDescent="0.45">
      <c r="A69" t="s">
        <v>111</v>
      </c>
      <c r="B69">
        <f t="shared" si="3"/>
        <v>41740.16585300117</v>
      </c>
      <c r="C69">
        <f>VLOOKUP(A69,'2025'!$B$2:$H$105,2,FALSE)/100</f>
        <v>3.1E-2</v>
      </c>
      <c r="D69">
        <f t="shared" si="4"/>
        <v>36058.166608478794</v>
      </c>
      <c r="E69">
        <f>VLOOKUP(A69,'2015'!$B$2:$H$122,2,FALSE)/100</f>
        <v>3.2000000000000001E-2</v>
      </c>
      <c r="J69" t="s">
        <v>68</v>
      </c>
      <c r="K69" t="s">
        <v>239</v>
      </c>
      <c r="L69">
        <v>15840.266856741184</v>
      </c>
      <c r="N69" t="s">
        <v>68</v>
      </c>
      <c r="O69" t="s">
        <v>239</v>
      </c>
      <c r="P69">
        <v>10877.750746138814</v>
      </c>
    </row>
    <row r="70" spans="1:16" x14ac:dyDescent="0.45">
      <c r="A70" t="s">
        <v>43</v>
      </c>
      <c r="B70">
        <f t="shared" si="3"/>
        <v>6252.1154319955858</v>
      </c>
      <c r="C70">
        <f>VLOOKUP(A70,'2025'!$B$2:$H$105,2,FALSE)/100</f>
        <v>0.14300000000000002</v>
      </c>
      <c r="D70">
        <f t="shared" si="4"/>
        <v>4480.2631346098487</v>
      </c>
      <c r="E70">
        <f>VLOOKUP(A70,'2015'!$B$2:$H$122,2,FALSE)/100</f>
        <v>0.14300000000000002</v>
      </c>
      <c r="J70" t="s">
        <v>240</v>
      </c>
      <c r="K70" t="s">
        <v>241</v>
      </c>
      <c r="L70">
        <v>19094.144944411131</v>
      </c>
      <c r="N70" t="s">
        <v>240</v>
      </c>
      <c r="O70" t="s">
        <v>241</v>
      </c>
      <c r="P70">
        <v>10903.336823118485</v>
      </c>
    </row>
    <row r="71" spans="1:16" x14ac:dyDescent="0.45">
      <c r="A71" t="s">
        <v>73</v>
      </c>
      <c r="B71">
        <f t="shared" si="3"/>
        <v>41369.422541498956</v>
      </c>
      <c r="C71">
        <f>VLOOKUP(A71,'2025'!$B$2:$H$105,2,FALSE)/100</f>
        <v>0.11199999999999999</v>
      </c>
      <c r="D71">
        <f t="shared" si="4"/>
        <v>27245.278840263127</v>
      </c>
      <c r="E71">
        <f>VLOOKUP(A71,'2015'!$B$2:$H$122,2,FALSE)/100</f>
        <v>0.10800000000000001</v>
      </c>
      <c r="J71" t="s">
        <v>242</v>
      </c>
      <c r="K71" t="s">
        <v>243</v>
      </c>
      <c r="L71">
        <v>66098.010886427539</v>
      </c>
      <c r="N71" t="s">
        <v>242</v>
      </c>
      <c r="O71" t="s">
        <v>243</v>
      </c>
      <c r="P71">
        <v>41183.560322644589</v>
      </c>
    </row>
    <row r="72" spans="1:16" x14ac:dyDescent="0.45">
      <c r="A72" t="s">
        <v>26</v>
      </c>
      <c r="B72">
        <f t="shared" si="3"/>
        <v>17802.418249897237</v>
      </c>
      <c r="C72">
        <f>VLOOKUP(A72,'2025'!$B$2:$H$105,2,FALSE)/100</f>
        <v>0.184</v>
      </c>
      <c r="D72">
        <f t="shared" si="4"/>
        <v>11600.387399286728</v>
      </c>
      <c r="E72">
        <f>VLOOKUP(A72,'2015'!$B$2:$H$122,2,FALSE)/100</f>
        <v>0.16300000000000001</v>
      </c>
      <c r="J72" t="s">
        <v>244</v>
      </c>
      <c r="K72" t="s">
        <v>245</v>
      </c>
      <c r="N72" t="s">
        <v>244</v>
      </c>
      <c r="O72" t="s">
        <v>245</v>
      </c>
    </row>
    <row r="73" spans="1:16" x14ac:dyDescent="0.45">
      <c r="A73" t="s">
        <v>20</v>
      </c>
      <c r="B73">
        <f t="shared" si="3"/>
        <v>11794.137548849178</v>
      </c>
      <c r="C73">
        <f>VLOOKUP(A73,'2025'!$B$2:$H$105,2,FALSE)/100</f>
        <v>0.222</v>
      </c>
      <c r="D73">
        <f t="shared" si="4"/>
        <v>6894.2670221793451</v>
      </c>
      <c r="E73">
        <f>VLOOKUP(A73,'2015'!$B$2:$H$122,2,FALSE)/100</f>
        <v>0.185</v>
      </c>
      <c r="J73" t="s">
        <v>90</v>
      </c>
      <c r="K73" t="s">
        <v>246</v>
      </c>
      <c r="L73">
        <v>57965.294813883731</v>
      </c>
      <c r="N73" t="s">
        <v>90</v>
      </c>
      <c r="O73" t="s">
        <v>246</v>
      </c>
      <c r="P73">
        <v>35228.6333036223</v>
      </c>
    </row>
    <row r="74" spans="1:16" x14ac:dyDescent="0.45">
      <c r="A74" t="s">
        <v>74</v>
      </c>
      <c r="B74">
        <f t="shared" si="3"/>
        <v>51262.510575688393</v>
      </c>
      <c r="C74">
        <f>VLOOKUP(A74,'2025'!$B$2:$H$105,2,FALSE)/100</f>
        <v>0.11</v>
      </c>
      <c r="D74">
        <f t="shared" si="4"/>
        <v>26988.1069013509</v>
      </c>
      <c r="E74">
        <f>VLOOKUP(A74,'2015'!$B$2:$H$122,2,FALSE)/100</f>
        <v>0.106</v>
      </c>
      <c r="J74" t="s">
        <v>71</v>
      </c>
      <c r="K74" t="s">
        <v>247</v>
      </c>
      <c r="L74">
        <v>49968.710827837298</v>
      </c>
      <c r="N74" t="s">
        <v>71</v>
      </c>
      <c r="O74" t="s">
        <v>247</v>
      </c>
      <c r="P74">
        <v>29712.629947372814</v>
      </c>
    </row>
    <row r="75" spans="1:16" x14ac:dyDescent="0.45">
      <c r="A75" t="s">
        <v>41</v>
      </c>
      <c r="B75">
        <f t="shared" si="3"/>
        <v>51679.888380752695</v>
      </c>
      <c r="C75">
        <f>VLOOKUP(A75,'2025'!$B$2:$H$105,2,FALSE)/100</f>
        <v>0.14699999999999999</v>
      </c>
      <c r="D75">
        <f t="shared" si="4"/>
        <v>29608.007151395595</v>
      </c>
      <c r="E75">
        <f>VLOOKUP(A75,'2015'!$B$2:$H$122,2,FALSE)/100</f>
        <v>8.3000000000000004E-2</v>
      </c>
      <c r="J75" t="s">
        <v>11</v>
      </c>
      <c r="K75" t="s">
        <v>248</v>
      </c>
      <c r="L75">
        <v>3287.5349215889282</v>
      </c>
      <c r="N75" t="s">
        <v>11</v>
      </c>
      <c r="O75" t="s">
        <v>248</v>
      </c>
      <c r="P75">
        <v>1632.6181800683673</v>
      </c>
    </row>
    <row r="76" spans="1:16" x14ac:dyDescent="0.45">
      <c r="A76" t="s">
        <v>107</v>
      </c>
      <c r="B76">
        <f t="shared" si="3"/>
        <v>126046.35485561157</v>
      </c>
      <c r="C76">
        <f>VLOOKUP(A76,'2025'!$B$2:$H$105,2,FALSE)/100</f>
        <v>5.2000000000000005E-2</v>
      </c>
      <c r="D76">
        <f t="shared" si="4"/>
        <v>102545.86329127896</v>
      </c>
      <c r="E76">
        <f>VLOOKUP(A76,'2015'!$B$2:$H$122,2,FALSE)/100</f>
        <v>6.6000000000000003E-2</v>
      </c>
      <c r="J76" t="s">
        <v>249</v>
      </c>
      <c r="K76" t="s">
        <v>250</v>
      </c>
      <c r="L76">
        <v>63610.227392985733</v>
      </c>
      <c r="N76" t="s">
        <v>249</v>
      </c>
      <c r="O76" t="s">
        <v>250</v>
      </c>
      <c r="P76">
        <v>38444.682320202373</v>
      </c>
    </row>
    <row r="77" spans="1:16" x14ac:dyDescent="0.45">
      <c r="A77" t="s">
        <v>78</v>
      </c>
      <c r="B77">
        <f t="shared" si="3"/>
        <v>49558.668912013651</v>
      </c>
      <c r="C77">
        <f>VLOOKUP(A77,'2025'!$B$2:$H$105,2,FALSE)/100</f>
        <v>0.10300000000000001</v>
      </c>
      <c r="D77">
        <f t="shared" si="4"/>
        <v>20201.858456166166</v>
      </c>
      <c r="E77">
        <f>VLOOKUP(A77,'2015'!$B$2:$H$122,2,FALSE)/100</f>
        <v>0.11800000000000001</v>
      </c>
      <c r="J77" t="s">
        <v>251</v>
      </c>
      <c r="K77" t="s">
        <v>252</v>
      </c>
      <c r="L77">
        <v>6394.5659133094523</v>
      </c>
      <c r="N77" t="s">
        <v>251</v>
      </c>
      <c r="O77" t="s">
        <v>252</v>
      </c>
      <c r="P77">
        <v>4942.5257901881205</v>
      </c>
    </row>
    <row r="78" spans="1:16" x14ac:dyDescent="0.45">
      <c r="A78" t="s">
        <v>451</v>
      </c>
      <c r="B78">
        <f t="shared" si="3"/>
        <v>47404.96484375</v>
      </c>
      <c r="C78" t="e">
        <f>VLOOKUP(A78,'2025'!$B$2:$H$105,2,FALSE)/100</f>
        <v>#N/A</v>
      </c>
      <c r="D78">
        <f t="shared" si="4"/>
        <v>23994.013671875</v>
      </c>
      <c r="E78" t="e">
        <f>VLOOKUP(A78,'2015'!$B$2:$H$122,2,FALSE)/100</f>
        <v>#N/A</v>
      </c>
      <c r="J78" t="s">
        <v>95</v>
      </c>
      <c r="K78" t="s">
        <v>253</v>
      </c>
      <c r="L78">
        <v>65378.384185972063</v>
      </c>
      <c r="N78" t="s">
        <v>95</v>
      </c>
      <c r="O78" t="s">
        <v>253</v>
      </c>
      <c r="P78">
        <v>42257.859379129681</v>
      </c>
    </row>
    <row r="79" spans="1:16" x14ac:dyDescent="0.45">
      <c r="A79" t="s">
        <v>112</v>
      </c>
      <c r="B79">
        <f t="shared" si="3"/>
        <v>71375.372789028523</v>
      </c>
      <c r="C79">
        <f>VLOOKUP(A79,'2025'!$B$2:$H$105,2,FALSE)/100</f>
        <v>3.1E-2</v>
      </c>
      <c r="D79">
        <f t="shared" si="4"/>
        <v>53930.827387262187</v>
      </c>
      <c r="E79">
        <f>VLOOKUP(A79,'2015'!$B$2:$H$122,2,FALSE)/100</f>
        <v>3.1E-2</v>
      </c>
      <c r="J79" t="s">
        <v>254</v>
      </c>
      <c r="K79" t="s">
        <v>255</v>
      </c>
      <c r="L79">
        <v>15450.299326538776</v>
      </c>
      <c r="N79" t="s">
        <v>254</v>
      </c>
      <c r="O79" t="s">
        <v>255</v>
      </c>
      <c r="P79">
        <v>11519.301218732413</v>
      </c>
    </row>
    <row r="80" spans="1:16" x14ac:dyDescent="0.45">
      <c r="A80" t="s">
        <v>33</v>
      </c>
      <c r="B80">
        <f t="shared" si="3"/>
        <v>32781.014241203149</v>
      </c>
      <c r="C80">
        <f>VLOOKUP(A80,'2025'!$B$2:$H$105,2,FALSE)/100</f>
        <v>0.16</v>
      </c>
      <c r="D80">
        <f t="shared" si="4"/>
        <v>14523.53903407022</v>
      </c>
      <c r="E80">
        <f>VLOOKUP(A80,'2015'!$B$2:$H$122,2,FALSE)/100</f>
        <v>0.17100000000000001</v>
      </c>
      <c r="J80" t="s">
        <v>80</v>
      </c>
      <c r="K80" t="s">
        <v>256</v>
      </c>
      <c r="L80">
        <v>62556.918104540004</v>
      </c>
      <c r="N80" t="s">
        <v>80</v>
      </c>
      <c r="O80" t="s">
        <v>256</v>
      </c>
      <c r="P80">
        <v>40905.17677509936</v>
      </c>
    </row>
    <row r="81" spans="1:16" x14ac:dyDescent="0.45">
      <c r="A81" t="s">
        <v>19</v>
      </c>
      <c r="B81">
        <f t="shared" si="3"/>
        <v>150689.30162582558</v>
      </c>
      <c r="C81">
        <f>VLOOKUP(A81,'2025'!$B$2:$H$105,2,FALSE)/100</f>
        <v>0.23199999999999998</v>
      </c>
      <c r="D81">
        <f t="shared" si="4"/>
        <v>87156.187383315017</v>
      </c>
      <c r="E81">
        <f>VLOOKUP(A81,'2015'!$B$2:$H$122,2,FALSE)/100</f>
        <v>0.214</v>
      </c>
      <c r="J81" t="s">
        <v>257</v>
      </c>
      <c r="K81" t="s">
        <v>258</v>
      </c>
      <c r="L81">
        <v>81908.778178501758</v>
      </c>
      <c r="N81" t="s">
        <v>257</v>
      </c>
      <c r="O81" t="s">
        <v>258</v>
      </c>
      <c r="P81">
        <v>53684.367165346281</v>
      </c>
    </row>
    <row r="82" spans="1:16" x14ac:dyDescent="0.45">
      <c r="A82" t="s">
        <v>485</v>
      </c>
      <c r="B82">
        <f t="shared" si="3"/>
        <v>48132.356430542954</v>
      </c>
      <c r="C82" t="e">
        <f>VLOOKUP(A82,'2025'!$B$2:$H$105,2,FALSE)/100</f>
        <v>#N/A</v>
      </c>
      <c r="D82">
        <f t="shared" si="4"/>
        <v>30147.99036725414</v>
      </c>
      <c r="E82" t="e">
        <f>VLOOKUP(A82,'2015'!$B$2:$H$122,2,FALSE)/100</f>
        <v>#N/A</v>
      </c>
      <c r="J82" t="s">
        <v>259</v>
      </c>
      <c r="K82" t="s">
        <v>260</v>
      </c>
      <c r="L82">
        <v>4346.842496718753</v>
      </c>
      <c r="N82" t="s">
        <v>259</v>
      </c>
      <c r="O82" t="s">
        <v>260</v>
      </c>
      <c r="P82">
        <v>3288.9216066927529</v>
      </c>
    </row>
    <row r="83" spans="1:16" x14ac:dyDescent="0.45">
      <c r="A83" t="s">
        <v>55</v>
      </c>
      <c r="B83">
        <f t="shared" si="3"/>
        <v>57186.371353817427</v>
      </c>
      <c r="C83">
        <f>VLOOKUP(A83,'2025'!$B$2:$H$105,2,FALSE)/100</f>
        <v>0.13</v>
      </c>
      <c r="D83">
        <f t="shared" si="4"/>
        <v>31336.204385888104</v>
      </c>
      <c r="E83">
        <f>VLOOKUP(A83,'2015'!$B$2:$H$122,2,FALSE)/100</f>
        <v>0.106</v>
      </c>
      <c r="J83" t="s">
        <v>261</v>
      </c>
      <c r="K83" t="s">
        <v>262</v>
      </c>
      <c r="L83">
        <v>21510.172530734362</v>
      </c>
      <c r="N83" t="s">
        <v>261</v>
      </c>
      <c r="O83" t="s">
        <v>262</v>
      </c>
      <c r="P83">
        <v>14306.434076825177</v>
      </c>
    </row>
    <row r="84" spans="1:16" x14ac:dyDescent="0.45">
      <c r="A84" t="s">
        <v>110</v>
      </c>
      <c r="B84">
        <f t="shared" si="3"/>
        <v>15456.19899336581</v>
      </c>
      <c r="C84">
        <f>VLOOKUP(A84,'2025'!$B$2:$H$105,2,FALSE)/100</f>
        <v>3.2000000000000001E-2</v>
      </c>
      <c r="D84">
        <f t="shared" si="4"/>
        <v>13397.523481334631</v>
      </c>
      <c r="E84">
        <f>VLOOKUP(A84,'2015'!$B$2:$H$122,2,FALSE)/100</f>
        <v>3.1E-2</v>
      </c>
      <c r="J84" t="s">
        <v>86</v>
      </c>
      <c r="K84" t="s">
        <v>263</v>
      </c>
      <c r="L84">
        <v>62009.490776536586</v>
      </c>
      <c r="N84" t="s">
        <v>86</v>
      </c>
      <c r="O84" t="s">
        <v>263</v>
      </c>
      <c r="P84">
        <v>42515.278865824046</v>
      </c>
    </row>
    <row r="85" spans="1:16" x14ac:dyDescent="0.45">
      <c r="A85" t="s">
        <v>90</v>
      </c>
      <c r="B85">
        <f t="shared" si="3"/>
        <v>57965.294813883731</v>
      </c>
      <c r="C85">
        <f>VLOOKUP(A85,'2025'!$B$2:$H$105,2,FALSE)/100</f>
        <v>8.5000000000000006E-2</v>
      </c>
      <c r="D85">
        <f t="shared" si="4"/>
        <v>35228.6333036223</v>
      </c>
      <c r="E85">
        <f>VLOOKUP(A85,'2015'!$B$2:$H$122,2,FALSE)/100</f>
        <v>9.6000000000000002E-2</v>
      </c>
      <c r="J85" t="s">
        <v>62</v>
      </c>
      <c r="K85" t="s">
        <v>264</v>
      </c>
      <c r="L85">
        <v>28285.073280298224</v>
      </c>
      <c r="N85" t="s">
        <v>62</v>
      </c>
      <c r="O85" t="s">
        <v>264</v>
      </c>
      <c r="P85">
        <v>12269.652893276785</v>
      </c>
    </row>
    <row r="86" spans="1:16" x14ac:dyDescent="0.45">
      <c r="A86" t="s">
        <v>13</v>
      </c>
      <c r="B86">
        <f t="shared" si="3"/>
        <v>15632.592484984809</v>
      </c>
      <c r="C86">
        <f>VLOOKUP(A86,'2025'!$B$2:$H$105,2,FALSE)/100</f>
        <v>0.34200000000000003</v>
      </c>
      <c r="D86">
        <f t="shared" si="4"/>
        <v>12227.171484951274</v>
      </c>
      <c r="E86">
        <f>VLOOKUP(A86,'2015'!$B$2:$H$122,2,FALSE)/100</f>
        <v>0.14300000000000002</v>
      </c>
      <c r="J86" t="s">
        <v>116</v>
      </c>
      <c r="K86" t="s">
        <v>265</v>
      </c>
      <c r="L86">
        <v>8019.9970238961096</v>
      </c>
      <c r="N86" t="s">
        <v>116</v>
      </c>
      <c r="O86" t="s">
        <v>265</v>
      </c>
      <c r="P86">
        <v>5191.3705338965883</v>
      </c>
    </row>
    <row r="87" spans="1:16" x14ac:dyDescent="0.45">
      <c r="A87" t="s">
        <v>96</v>
      </c>
      <c r="B87">
        <f t="shared" si="3"/>
        <v>71844.912988057898</v>
      </c>
      <c r="C87">
        <f>VLOOKUP(A87,'2025'!$B$2:$H$105,2,FALSE)/100</f>
        <v>7.6999999999999999E-2</v>
      </c>
      <c r="D87">
        <f t="shared" si="4"/>
        <v>48772.069605727731</v>
      </c>
      <c r="E87">
        <f>VLOOKUP(A87,'2015'!$B$2:$H$122,2,FALSE)/100</f>
        <v>9.1999999999999998E-2</v>
      </c>
      <c r="J87" t="s">
        <v>266</v>
      </c>
      <c r="K87" t="s">
        <v>267</v>
      </c>
      <c r="N87" t="s">
        <v>266</v>
      </c>
      <c r="O87" t="s">
        <v>267</v>
      </c>
    </row>
    <row r="88" spans="1:16" x14ac:dyDescent="0.45">
      <c r="A88" t="s">
        <v>75</v>
      </c>
      <c r="B88">
        <f t="shared" si="3"/>
        <v>96497.694797132295</v>
      </c>
      <c r="C88">
        <f>VLOOKUP(A88,'2025'!$B$2:$H$105,2,FALSE)/100</f>
        <v>0.11</v>
      </c>
      <c r="D88">
        <f t="shared" si="4"/>
        <v>65265.045733559971</v>
      </c>
      <c r="E88">
        <f>VLOOKUP(A88,'2015'!$B$2:$H$122,2,FALSE)/100</f>
        <v>7.2999999999999995E-2</v>
      </c>
      <c r="J88" t="s">
        <v>268</v>
      </c>
      <c r="K88" t="s">
        <v>269</v>
      </c>
      <c r="L88">
        <v>4565.3007888455968</v>
      </c>
      <c r="N88" t="s">
        <v>268</v>
      </c>
      <c r="O88" t="s">
        <v>269</v>
      </c>
      <c r="P88">
        <v>1929.6809133218671</v>
      </c>
    </row>
    <row r="89" spans="1:16" x14ac:dyDescent="0.45">
      <c r="A89" t="s">
        <v>18</v>
      </c>
      <c r="B89">
        <f t="shared" si="3"/>
        <v>24712.06585751352</v>
      </c>
      <c r="C89">
        <f>VLOOKUP(A89,'2025'!$B$2:$H$105,2,FALSE)/100</f>
        <v>0.252</v>
      </c>
      <c r="D89">
        <f t="shared" si="4"/>
        <v>15791.171476220708</v>
      </c>
      <c r="E89">
        <f>VLOOKUP(A89,'2015'!$B$2:$H$122,2,FALSE)/100</f>
        <v>0.20800000000000002</v>
      </c>
      <c r="J89" t="s">
        <v>270</v>
      </c>
      <c r="K89" t="s">
        <v>271</v>
      </c>
      <c r="L89">
        <v>3475.6124570134061</v>
      </c>
      <c r="N89" t="s">
        <v>270</v>
      </c>
      <c r="O89" t="s">
        <v>271</v>
      </c>
      <c r="P89">
        <v>1990.3162575097251</v>
      </c>
    </row>
    <row r="90" spans="1:16" x14ac:dyDescent="0.45">
      <c r="A90" t="s">
        <v>65</v>
      </c>
      <c r="B90">
        <f t="shared" si="3"/>
        <v>14521.008093763836</v>
      </c>
      <c r="C90">
        <f>VLOOKUP(A90,'2025'!$B$2:$H$105,2,FALSE)/100</f>
        <v>0.122</v>
      </c>
      <c r="D90">
        <f t="shared" si="4"/>
        <v>10782.543838244115</v>
      </c>
      <c r="E90">
        <f>VLOOKUP(A90,'2015'!$B$2:$H$122,2,FALSE)/100</f>
        <v>0.10800000000000001</v>
      </c>
      <c r="J90" t="s">
        <v>272</v>
      </c>
      <c r="K90" t="s">
        <v>273</v>
      </c>
      <c r="L90">
        <v>3119.371570474374</v>
      </c>
      <c r="N90" t="s">
        <v>272</v>
      </c>
      <c r="O90" t="s">
        <v>273</v>
      </c>
      <c r="P90">
        <v>1729.9426031012326</v>
      </c>
    </row>
    <row r="91" spans="1:16" x14ac:dyDescent="0.45">
      <c r="A91" t="s">
        <v>527</v>
      </c>
      <c r="B91">
        <f t="shared" si="3"/>
        <v>45639.019273594407</v>
      </c>
      <c r="C91" t="e">
        <f>VLOOKUP(A91,'2025'!$B$2:$H$105,2,FALSE)/100</f>
        <v>#N/A</v>
      </c>
      <c r="D91">
        <f t="shared" si="4"/>
        <v>25890.054890105785</v>
      </c>
      <c r="E91" t="e">
        <f>VLOOKUP(A91,'2015'!$B$2:$H$122,2,FALSE)/100</f>
        <v>#N/A</v>
      </c>
      <c r="J91" t="s">
        <v>274</v>
      </c>
      <c r="K91" t="s">
        <v>275</v>
      </c>
      <c r="L91">
        <v>17566.760028407287</v>
      </c>
      <c r="N91" t="s">
        <v>274</v>
      </c>
      <c r="O91" t="s">
        <v>275</v>
      </c>
      <c r="P91">
        <v>19478.701012333764</v>
      </c>
    </row>
    <row r="92" spans="1:16" x14ac:dyDescent="0.45">
      <c r="A92" t="s">
        <v>48</v>
      </c>
      <c r="B92">
        <f t="shared" si="3"/>
        <v>18550.462890625</v>
      </c>
      <c r="C92">
        <f>VLOOKUP(A92,'2025'!$B$2:$H$105,2,FALSE)/100</f>
        <v>0.13600000000000001</v>
      </c>
      <c r="D92">
        <f t="shared" si="4"/>
        <v>9921.833984375</v>
      </c>
      <c r="E92">
        <f>VLOOKUP(A92,'2015'!$B$2:$H$122,2,FALSE)/100</f>
        <v>0.17399999999999999</v>
      </c>
      <c r="J92" t="s">
        <v>57</v>
      </c>
      <c r="K92" t="s">
        <v>276</v>
      </c>
      <c r="L92">
        <v>44327.209780827565</v>
      </c>
      <c r="N92" t="s">
        <v>57</v>
      </c>
      <c r="O92" t="s">
        <v>276</v>
      </c>
      <c r="P92">
        <v>26607.725679697571</v>
      </c>
    </row>
    <row r="93" spans="1:16" x14ac:dyDescent="0.45">
      <c r="A93" t="s">
        <v>100</v>
      </c>
      <c r="B93">
        <f t="shared" si="3"/>
        <v>79228.73880127602</v>
      </c>
      <c r="C93">
        <f>VLOOKUP(A93,'2025'!$B$2:$H$105,2,FALSE)/100</f>
        <v>7.0000000000000007E-2</v>
      </c>
      <c r="D93">
        <f t="shared" si="4"/>
        <v>73986.063639594504</v>
      </c>
      <c r="E93">
        <f>VLOOKUP(A93,'2015'!$B$2:$H$122,2,FALSE)/100</f>
        <v>6.2E-2</v>
      </c>
      <c r="J93" t="s">
        <v>277</v>
      </c>
      <c r="K93" t="s">
        <v>278</v>
      </c>
      <c r="L93">
        <v>20177.809492738561</v>
      </c>
      <c r="N93" t="s">
        <v>277</v>
      </c>
      <c r="O93" t="s">
        <v>278</v>
      </c>
      <c r="P93">
        <v>13214.40966449406</v>
      </c>
    </row>
    <row r="94" spans="1:16" x14ac:dyDescent="0.45">
      <c r="A94" t="s">
        <v>86</v>
      </c>
      <c r="B94">
        <f t="shared" si="3"/>
        <v>62009.490776536586</v>
      </c>
      <c r="C94">
        <f>VLOOKUP(A94,'2025'!$B$2:$H$105,2,FALSE)/100</f>
        <v>8.8000000000000009E-2</v>
      </c>
      <c r="D94">
        <f t="shared" si="4"/>
        <v>42515.278865824046</v>
      </c>
      <c r="E94">
        <f>VLOOKUP(A94,'2015'!$B$2:$H$122,2,FALSE)/100</f>
        <v>8.5999999999999993E-2</v>
      </c>
      <c r="J94" t="s">
        <v>279</v>
      </c>
      <c r="K94" t="s">
        <v>280</v>
      </c>
      <c r="N94" t="s">
        <v>279</v>
      </c>
      <c r="O94" t="s">
        <v>280</v>
      </c>
      <c r="P94">
        <v>55815.650288361154</v>
      </c>
    </row>
    <row r="95" spans="1:16" x14ac:dyDescent="0.45">
      <c r="A95" t="s">
        <v>109</v>
      </c>
      <c r="B95">
        <f t="shared" si="3"/>
        <v>85809.900384635912</v>
      </c>
      <c r="C95">
        <f>VLOOKUP(A95,'2025'!$B$2:$H$105,2,FALSE)/100</f>
        <v>3.3000000000000002E-2</v>
      </c>
      <c r="D95">
        <f t="shared" si="4"/>
        <v>56849.46979231594</v>
      </c>
      <c r="E95">
        <f>VLOOKUP(A95,'2015'!$B$2:$H$122,2,FALSE)/100</f>
        <v>2.6000000000000002E-2</v>
      </c>
      <c r="J95" t="s">
        <v>124</v>
      </c>
      <c r="K95" t="s">
        <v>281</v>
      </c>
      <c r="L95">
        <v>14368.660568181482</v>
      </c>
      <c r="N95" t="s">
        <v>124</v>
      </c>
      <c r="O95" t="s">
        <v>281</v>
      </c>
      <c r="P95">
        <v>8934.0026117839625</v>
      </c>
    </row>
    <row r="96" spans="1:16" x14ac:dyDescent="0.45">
      <c r="A96" t="s">
        <v>54</v>
      </c>
      <c r="B96">
        <f t="shared" si="3"/>
        <v>36417.874162496009</v>
      </c>
      <c r="C96">
        <f>VLOOKUP(A96,'2025'!$B$2:$H$105,2,FALSE)/100</f>
        <v>0.13</v>
      </c>
      <c r="D96">
        <f t="shared" si="4"/>
        <v>22168.611418967605</v>
      </c>
      <c r="E96">
        <f>VLOOKUP(A96,'2015'!$B$2:$H$122,2,FALSE)/100</f>
        <v>0.11199999999999999</v>
      </c>
      <c r="J96" t="s">
        <v>282</v>
      </c>
      <c r="K96" t="s">
        <v>283</v>
      </c>
      <c r="N96" t="s">
        <v>282</v>
      </c>
      <c r="O96" t="s">
        <v>283</v>
      </c>
    </row>
    <row r="97" spans="1:16" x14ac:dyDescent="0.45">
      <c r="A97" t="s">
        <v>50</v>
      </c>
      <c r="B97">
        <f t="shared" si="3"/>
        <v>11878.552870684822</v>
      </c>
      <c r="C97">
        <f>VLOOKUP(A97,'2025'!$B$2:$H$105,2,FALSE)/100</f>
        <v>0.13500000000000001</v>
      </c>
      <c r="D97">
        <f t="shared" si="4"/>
        <v>6799.5733284218295</v>
      </c>
      <c r="E97">
        <f>VLOOKUP(A97,'2015'!$B$2:$H$122,2,FALSE)/100</f>
        <v>0.14699999999999999</v>
      </c>
      <c r="J97" t="s">
        <v>284</v>
      </c>
      <c r="K97" t="s">
        <v>285</v>
      </c>
      <c r="L97">
        <v>80155.039392769962</v>
      </c>
      <c r="N97" t="s">
        <v>284</v>
      </c>
      <c r="O97" t="s">
        <v>285</v>
      </c>
      <c r="P97">
        <v>11408.473901348996</v>
      </c>
    </row>
    <row r="98" spans="1:16" x14ac:dyDescent="0.45">
      <c r="A98" t="s">
        <v>547</v>
      </c>
      <c r="B98">
        <f t="shared" si="3"/>
        <v>16385.506556545766</v>
      </c>
      <c r="C98" t="e">
        <f>VLOOKUP(A98,'2025'!$B$2:$H$105,2,FALSE)/100</f>
        <v>#N/A</v>
      </c>
      <c r="D98">
        <f t="shared" si="4"/>
        <v>7671.5819778083951</v>
      </c>
      <c r="E98" t="e">
        <f>VLOOKUP(A98,'2015'!$B$2:$H$122,2,FALSE)/100</f>
        <v>#N/A</v>
      </c>
      <c r="J98" t="s">
        <v>286</v>
      </c>
      <c r="K98" t="s">
        <v>287</v>
      </c>
      <c r="L98">
        <v>67051.677927341632</v>
      </c>
      <c r="N98" t="s">
        <v>286</v>
      </c>
      <c r="O98" t="s">
        <v>287</v>
      </c>
      <c r="P98">
        <v>43078.30508706758</v>
      </c>
    </row>
    <row r="99" spans="1:16" x14ac:dyDescent="0.45">
      <c r="J99" t="s">
        <v>288</v>
      </c>
      <c r="K99" t="s">
        <v>289</v>
      </c>
      <c r="L99">
        <v>75195.986597061506</v>
      </c>
      <c r="N99" t="s">
        <v>288</v>
      </c>
      <c r="O99" t="s">
        <v>289</v>
      </c>
      <c r="P99">
        <v>56043.042695697033</v>
      </c>
    </row>
    <row r="100" spans="1:16" x14ac:dyDescent="0.45">
      <c r="J100" t="s">
        <v>132</v>
      </c>
      <c r="K100" t="s">
        <v>290</v>
      </c>
      <c r="L100">
        <v>7486.0186961644476</v>
      </c>
      <c r="N100" t="s">
        <v>132</v>
      </c>
      <c r="O100" t="s">
        <v>290</v>
      </c>
      <c r="P100">
        <v>4845.5956652112545</v>
      </c>
    </row>
    <row r="101" spans="1:16" x14ac:dyDescent="0.45">
      <c r="J101" t="s">
        <v>291</v>
      </c>
      <c r="K101" t="s">
        <v>292</v>
      </c>
      <c r="L101">
        <v>3611.7625881397594</v>
      </c>
      <c r="N101" t="s">
        <v>291</v>
      </c>
      <c r="O101" t="s">
        <v>292</v>
      </c>
      <c r="P101">
        <v>2407.8225313523626</v>
      </c>
    </row>
    <row r="102" spans="1:16" x14ac:dyDescent="0.45">
      <c r="J102" t="s">
        <v>60</v>
      </c>
      <c r="K102" t="s">
        <v>293</v>
      </c>
      <c r="L102">
        <v>49645.745685441332</v>
      </c>
      <c r="N102" t="s">
        <v>60</v>
      </c>
      <c r="O102" t="s">
        <v>293</v>
      </c>
      <c r="P102">
        <v>22187.17739422802</v>
      </c>
    </row>
    <row r="103" spans="1:16" x14ac:dyDescent="0.45">
      <c r="J103" t="s">
        <v>294</v>
      </c>
      <c r="K103" t="s">
        <v>295</v>
      </c>
      <c r="L103">
        <v>3193.67136419915</v>
      </c>
      <c r="N103" t="s">
        <v>294</v>
      </c>
      <c r="O103" t="s">
        <v>295</v>
      </c>
      <c r="P103">
        <v>3025.8346172825841</v>
      </c>
    </row>
    <row r="104" spans="1:16" x14ac:dyDescent="0.45">
      <c r="J104" t="s">
        <v>56</v>
      </c>
      <c r="K104" t="s">
        <v>296</v>
      </c>
      <c r="L104">
        <v>48552.47080925294</v>
      </c>
      <c r="N104" t="s">
        <v>56</v>
      </c>
      <c r="O104" t="s">
        <v>296</v>
      </c>
      <c r="P104">
        <v>26937.732081886443</v>
      </c>
    </row>
    <row r="105" spans="1:16" x14ac:dyDescent="0.45">
      <c r="J105" t="s">
        <v>297</v>
      </c>
      <c r="K105" t="s">
        <v>298</v>
      </c>
      <c r="L105">
        <v>21126.945607657512</v>
      </c>
      <c r="N105" t="s">
        <v>297</v>
      </c>
      <c r="O105" t="s">
        <v>298</v>
      </c>
      <c r="P105">
        <v>11684.142588440573</v>
      </c>
    </row>
    <row r="106" spans="1:16" x14ac:dyDescent="0.45">
      <c r="J106" t="s">
        <v>299</v>
      </c>
      <c r="K106" t="s">
        <v>300</v>
      </c>
      <c r="L106">
        <v>16790.149404238873</v>
      </c>
      <c r="N106" t="s">
        <v>299</v>
      </c>
      <c r="O106" t="s">
        <v>300</v>
      </c>
      <c r="P106">
        <v>9673.0234232713537</v>
      </c>
    </row>
    <row r="107" spans="1:16" x14ac:dyDescent="0.45">
      <c r="J107" t="s">
        <v>301</v>
      </c>
      <c r="K107" t="s">
        <v>302</v>
      </c>
      <c r="L107">
        <v>5710.1446286105411</v>
      </c>
      <c r="N107" t="s">
        <v>301</v>
      </c>
      <c r="O107" t="s">
        <v>302</v>
      </c>
      <c r="P107">
        <v>3818.7109831016724</v>
      </c>
    </row>
    <row r="108" spans="1:16" x14ac:dyDescent="0.45">
      <c r="J108" t="s">
        <v>303</v>
      </c>
      <c r="K108" t="s">
        <v>304</v>
      </c>
      <c r="L108">
        <v>7631.6228519561664</v>
      </c>
      <c r="N108" t="s">
        <v>303</v>
      </c>
      <c r="O108" t="s">
        <v>304</v>
      </c>
      <c r="P108">
        <v>5466.8623375678808</v>
      </c>
    </row>
    <row r="109" spans="1:16" x14ac:dyDescent="0.45">
      <c r="J109" t="s">
        <v>40</v>
      </c>
      <c r="K109" t="s">
        <v>305</v>
      </c>
      <c r="L109">
        <v>16448.275517955855</v>
      </c>
      <c r="N109" t="s">
        <v>40</v>
      </c>
      <c r="O109" t="s">
        <v>305</v>
      </c>
      <c r="P109">
        <v>10027.537299602549</v>
      </c>
    </row>
    <row r="110" spans="1:16" x14ac:dyDescent="0.45">
      <c r="J110" t="s">
        <v>306</v>
      </c>
      <c r="K110" t="s">
        <v>307</v>
      </c>
      <c r="L110">
        <v>4697.5614220310454</v>
      </c>
      <c r="N110" t="s">
        <v>306</v>
      </c>
      <c r="O110" t="s">
        <v>307</v>
      </c>
      <c r="P110">
        <v>2917.5410740658754</v>
      </c>
    </row>
    <row r="111" spans="1:16" x14ac:dyDescent="0.45">
      <c r="J111" t="s">
        <v>308</v>
      </c>
      <c r="K111" t="s">
        <v>309</v>
      </c>
      <c r="N111" t="s">
        <v>308</v>
      </c>
      <c r="O111" t="s">
        <v>309</v>
      </c>
    </row>
    <row r="112" spans="1:16" x14ac:dyDescent="0.45">
      <c r="J112" t="s">
        <v>76</v>
      </c>
      <c r="K112" t="s">
        <v>310</v>
      </c>
      <c r="L112">
        <v>11159.985647609126</v>
      </c>
      <c r="N112" t="s">
        <v>76</v>
      </c>
      <c r="O112" t="s">
        <v>310</v>
      </c>
      <c r="P112">
        <v>5425.0359909104618</v>
      </c>
    </row>
    <row r="113" spans="10:16" x14ac:dyDescent="0.45">
      <c r="J113" t="s">
        <v>311</v>
      </c>
      <c r="K113" t="s">
        <v>312</v>
      </c>
      <c r="N113" t="s">
        <v>311</v>
      </c>
      <c r="O113" t="s">
        <v>312</v>
      </c>
    </row>
    <row r="114" spans="10:16" x14ac:dyDescent="0.45">
      <c r="J114" t="s">
        <v>103</v>
      </c>
      <c r="K114" t="s">
        <v>313</v>
      </c>
      <c r="L114">
        <v>133437.47011701888</v>
      </c>
      <c r="N114" t="s">
        <v>103</v>
      </c>
      <c r="O114" t="s">
        <v>313</v>
      </c>
      <c r="P114">
        <v>71588.265663837767</v>
      </c>
    </row>
    <row r="115" spans="10:16" x14ac:dyDescent="0.45">
      <c r="J115" t="s">
        <v>314</v>
      </c>
      <c r="K115" t="s">
        <v>315</v>
      </c>
      <c r="L115">
        <v>19873.88608538052</v>
      </c>
      <c r="N115" t="s">
        <v>314</v>
      </c>
      <c r="O115" t="s">
        <v>315</v>
      </c>
      <c r="P115">
        <v>14273.549906158638</v>
      </c>
    </row>
    <row r="116" spans="10:16" x14ac:dyDescent="0.45">
      <c r="J116" t="s">
        <v>91</v>
      </c>
      <c r="K116" t="s">
        <v>316</v>
      </c>
      <c r="L116">
        <v>14464.31869281728</v>
      </c>
      <c r="N116" t="s">
        <v>91</v>
      </c>
      <c r="O116" t="s">
        <v>316</v>
      </c>
      <c r="P116">
        <v>9334.4660486631528</v>
      </c>
    </row>
    <row r="117" spans="10:16" x14ac:dyDescent="0.45">
      <c r="J117" t="s">
        <v>104</v>
      </c>
      <c r="K117" t="s">
        <v>317</v>
      </c>
      <c r="L117">
        <v>84256.845457311152</v>
      </c>
      <c r="N117" t="s">
        <v>104</v>
      </c>
      <c r="O117" t="s">
        <v>317</v>
      </c>
      <c r="P117">
        <v>49201.064096455295</v>
      </c>
    </row>
    <row r="118" spans="10:16" x14ac:dyDescent="0.45">
      <c r="J118" t="s">
        <v>46</v>
      </c>
      <c r="K118" t="s">
        <v>318</v>
      </c>
      <c r="L118">
        <v>57235.776324413557</v>
      </c>
      <c r="N118" t="s">
        <v>46</v>
      </c>
      <c r="O118" t="s">
        <v>318</v>
      </c>
      <c r="P118">
        <v>35870.792715630116</v>
      </c>
    </row>
    <row r="119" spans="10:16" x14ac:dyDescent="0.45">
      <c r="J119" t="s">
        <v>83</v>
      </c>
      <c r="K119" t="s">
        <v>319</v>
      </c>
      <c r="L119">
        <v>62014.26751536892</v>
      </c>
      <c r="N119" t="s">
        <v>83</v>
      </c>
      <c r="O119" t="s">
        <v>319</v>
      </c>
      <c r="P119">
        <v>37384.37964554059</v>
      </c>
    </row>
    <row r="120" spans="10:16" x14ac:dyDescent="0.45">
      <c r="J120" t="s">
        <v>129</v>
      </c>
      <c r="K120" t="s">
        <v>320</v>
      </c>
      <c r="L120">
        <v>12890.266005147236</v>
      </c>
      <c r="N120" t="s">
        <v>129</v>
      </c>
      <c r="O120" t="s">
        <v>320</v>
      </c>
      <c r="P120">
        <v>9476.1492946503731</v>
      </c>
    </row>
    <row r="121" spans="10:16" x14ac:dyDescent="0.45">
      <c r="J121" t="s">
        <v>101</v>
      </c>
      <c r="K121" t="s">
        <v>321</v>
      </c>
      <c r="L121">
        <v>10821.490976531695</v>
      </c>
      <c r="N121" t="s">
        <v>101</v>
      </c>
      <c r="O121" t="s">
        <v>321</v>
      </c>
      <c r="P121">
        <v>8967.0799583780827</v>
      </c>
    </row>
    <row r="122" spans="10:16" x14ac:dyDescent="0.45">
      <c r="J122" t="s">
        <v>66</v>
      </c>
      <c r="K122" t="s">
        <v>322</v>
      </c>
      <c r="L122">
        <v>52039.171655161132</v>
      </c>
      <c r="N122" t="s">
        <v>66</v>
      </c>
      <c r="O122" t="s">
        <v>322</v>
      </c>
      <c r="P122">
        <v>40898.806973960003</v>
      </c>
    </row>
    <row r="123" spans="10:16" x14ac:dyDescent="0.45">
      <c r="J123" t="s">
        <v>82</v>
      </c>
      <c r="K123" t="s">
        <v>323</v>
      </c>
      <c r="L123">
        <v>40890.931769440824</v>
      </c>
      <c r="N123" t="s">
        <v>82</v>
      </c>
      <c r="O123" t="s">
        <v>323</v>
      </c>
      <c r="P123">
        <v>22484.365138260669</v>
      </c>
    </row>
    <row r="124" spans="10:16" x14ac:dyDescent="0.45">
      <c r="J124" t="s">
        <v>118</v>
      </c>
      <c r="K124" t="s">
        <v>324</v>
      </c>
      <c r="L124">
        <v>6644.1309324389458</v>
      </c>
      <c r="N124" t="s">
        <v>118</v>
      </c>
      <c r="O124" t="s">
        <v>324</v>
      </c>
      <c r="P124">
        <v>3678.3261414601934</v>
      </c>
    </row>
    <row r="125" spans="10:16" x14ac:dyDescent="0.45">
      <c r="J125" t="s">
        <v>325</v>
      </c>
      <c r="K125" t="s">
        <v>326</v>
      </c>
      <c r="L125">
        <v>8012.4546444219386</v>
      </c>
      <c r="N125" t="s">
        <v>325</v>
      </c>
      <c r="O125" t="s">
        <v>326</v>
      </c>
      <c r="P125">
        <v>4153.3766990372033</v>
      </c>
    </row>
    <row r="126" spans="10:16" x14ac:dyDescent="0.45">
      <c r="J126" t="s">
        <v>117</v>
      </c>
      <c r="K126" t="s">
        <v>327</v>
      </c>
      <c r="L126">
        <v>7966.8735242870525</v>
      </c>
      <c r="N126" t="s">
        <v>117</v>
      </c>
      <c r="O126" t="s">
        <v>327</v>
      </c>
      <c r="P126">
        <v>4433.6439350057199</v>
      </c>
    </row>
    <row r="127" spans="10:16" x14ac:dyDescent="0.45">
      <c r="J127" t="s">
        <v>328</v>
      </c>
      <c r="K127" t="s">
        <v>329</v>
      </c>
      <c r="L127">
        <v>3702.3259470311536</v>
      </c>
      <c r="N127" t="s">
        <v>328</v>
      </c>
      <c r="O127" t="s">
        <v>329</v>
      </c>
      <c r="P127">
        <v>2310.6031287361229</v>
      </c>
    </row>
    <row r="128" spans="10:16" x14ac:dyDescent="0.45">
      <c r="J128" t="s">
        <v>330</v>
      </c>
      <c r="K128" t="s">
        <v>331</v>
      </c>
      <c r="L128">
        <v>34846.603534282825</v>
      </c>
      <c r="N128" t="s">
        <v>330</v>
      </c>
      <c r="O128" t="s">
        <v>331</v>
      </c>
      <c r="P128">
        <v>26877.466503110063</v>
      </c>
    </row>
    <row r="129" spans="10:16" x14ac:dyDescent="0.45">
      <c r="J129" t="s">
        <v>332</v>
      </c>
      <c r="K129" t="s">
        <v>333</v>
      </c>
      <c r="L129">
        <v>61051.349250249827</v>
      </c>
      <c r="N129" t="s">
        <v>332</v>
      </c>
      <c r="O129" t="s">
        <v>333</v>
      </c>
      <c r="P129">
        <v>39794.196118004278</v>
      </c>
    </row>
    <row r="130" spans="10:16" x14ac:dyDescent="0.45">
      <c r="J130" t="s">
        <v>99</v>
      </c>
      <c r="K130" t="s">
        <v>334</v>
      </c>
      <c r="L130">
        <v>52443.596922362623</v>
      </c>
      <c r="N130" t="s">
        <v>99</v>
      </c>
      <c r="O130" t="s">
        <v>334</v>
      </c>
      <c r="P130">
        <v>45267.308534745178</v>
      </c>
    </row>
    <row r="131" spans="10:16" x14ac:dyDescent="0.45">
      <c r="J131" t="s">
        <v>335</v>
      </c>
      <c r="K131" t="s">
        <v>336</v>
      </c>
      <c r="L131">
        <v>21961.190021174185</v>
      </c>
      <c r="N131" t="s">
        <v>335</v>
      </c>
      <c r="O131" t="s">
        <v>336</v>
      </c>
      <c r="P131">
        <v>14758.794334702339</v>
      </c>
    </row>
    <row r="132" spans="10:16" x14ac:dyDescent="0.45">
      <c r="J132" t="s">
        <v>337</v>
      </c>
      <c r="K132" t="s">
        <v>338</v>
      </c>
      <c r="L132">
        <v>9775.8281738102341</v>
      </c>
      <c r="N132" t="s">
        <v>337</v>
      </c>
      <c r="O132" t="s">
        <v>338</v>
      </c>
      <c r="P132">
        <v>6086.0673044621963</v>
      </c>
    </row>
    <row r="133" spans="10:16" x14ac:dyDescent="0.45">
      <c r="J133" t="s">
        <v>39</v>
      </c>
      <c r="K133" t="s">
        <v>339</v>
      </c>
      <c r="N133" t="s">
        <v>39</v>
      </c>
      <c r="O133" t="s">
        <v>339</v>
      </c>
      <c r="P133">
        <v>17045.898285301035</v>
      </c>
    </row>
    <row r="134" spans="10:16" x14ac:dyDescent="0.45">
      <c r="J134" t="s">
        <v>340</v>
      </c>
      <c r="K134" t="s">
        <v>341</v>
      </c>
      <c r="L134">
        <v>1871.0440616426233</v>
      </c>
      <c r="N134" t="s">
        <v>340</v>
      </c>
      <c r="O134" t="s">
        <v>341</v>
      </c>
      <c r="P134">
        <v>1340.4327974119658</v>
      </c>
    </row>
    <row r="135" spans="10:16" x14ac:dyDescent="0.45">
      <c r="J135" t="s">
        <v>127</v>
      </c>
      <c r="K135" t="s">
        <v>342</v>
      </c>
      <c r="L135">
        <v>14303.808773698796</v>
      </c>
      <c r="N135" t="s">
        <v>127</v>
      </c>
      <c r="O135" t="s">
        <v>342</v>
      </c>
      <c r="P135">
        <v>17903.256539580278</v>
      </c>
    </row>
    <row r="136" spans="10:16" x14ac:dyDescent="0.45">
      <c r="J136" t="s">
        <v>343</v>
      </c>
      <c r="K136" t="s">
        <v>344</v>
      </c>
      <c r="L136">
        <v>27567.328077983904</v>
      </c>
      <c r="N136" t="s">
        <v>343</v>
      </c>
      <c r="O136" t="s">
        <v>344</v>
      </c>
      <c r="P136">
        <v>14353.222484584501</v>
      </c>
    </row>
    <row r="137" spans="10:16" x14ac:dyDescent="0.45">
      <c r="J137" t="s">
        <v>345</v>
      </c>
      <c r="K137" t="s">
        <v>346</v>
      </c>
      <c r="L137">
        <v>23104.551980607801</v>
      </c>
      <c r="N137" t="s">
        <v>345</v>
      </c>
      <c r="O137" t="s">
        <v>346</v>
      </c>
      <c r="P137">
        <v>15285.771244360005</v>
      </c>
    </row>
    <row r="138" spans="10:16" x14ac:dyDescent="0.45">
      <c r="J138" t="s">
        <v>347</v>
      </c>
      <c r="K138" t="s">
        <v>348</v>
      </c>
      <c r="L138">
        <v>4463.9956422524365</v>
      </c>
      <c r="N138" t="s">
        <v>347</v>
      </c>
      <c r="O138" t="s">
        <v>348</v>
      </c>
      <c r="P138">
        <v>2764.4410679667362</v>
      </c>
    </row>
    <row r="139" spans="10:16" x14ac:dyDescent="0.45">
      <c r="J139" t="s">
        <v>349</v>
      </c>
      <c r="K139" t="s">
        <v>350</v>
      </c>
      <c r="L139">
        <v>2353.0487836878401</v>
      </c>
      <c r="N139" t="s">
        <v>349</v>
      </c>
      <c r="O139" t="s">
        <v>350</v>
      </c>
      <c r="P139">
        <v>1821.6403699213456</v>
      </c>
    </row>
    <row r="140" spans="10:16" x14ac:dyDescent="0.45">
      <c r="J140" t="s">
        <v>351</v>
      </c>
      <c r="K140" t="s">
        <v>352</v>
      </c>
      <c r="N140" t="s">
        <v>351</v>
      </c>
      <c r="O140" t="s">
        <v>352</v>
      </c>
    </row>
    <row r="141" spans="10:16" x14ac:dyDescent="0.45">
      <c r="J141" t="s">
        <v>13</v>
      </c>
      <c r="K141" t="s">
        <v>353</v>
      </c>
      <c r="L141">
        <v>15632.592484984809</v>
      </c>
      <c r="N141" t="s">
        <v>13</v>
      </c>
      <c r="O141" t="s">
        <v>353</v>
      </c>
      <c r="P141">
        <v>12227.171484951274</v>
      </c>
    </row>
    <row r="142" spans="10:16" x14ac:dyDescent="0.45">
      <c r="J142" t="s">
        <v>354</v>
      </c>
      <c r="K142" t="s">
        <v>355</v>
      </c>
      <c r="L142">
        <v>10225.442286008789</v>
      </c>
      <c r="N142" t="s">
        <v>354</v>
      </c>
      <c r="O142" t="s">
        <v>355</v>
      </c>
      <c r="P142">
        <v>5688.7007120405106</v>
      </c>
    </row>
    <row r="143" spans="10:16" x14ac:dyDescent="0.45">
      <c r="J143" t="s">
        <v>356</v>
      </c>
      <c r="K143" t="s">
        <v>357</v>
      </c>
      <c r="L143">
        <v>15794.483684907966</v>
      </c>
      <c r="N143" t="s">
        <v>356</v>
      </c>
      <c r="O143" t="s">
        <v>357</v>
      </c>
      <c r="P143">
        <v>9147.9027374821708</v>
      </c>
    </row>
    <row r="144" spans="10:16" x14ac:dyDescent="0.45">
      <c r="J144" t="s">
        <v>358</v>
      </c>
      <c r="K144" t="s">
        <v>359</v>
      </c>
      <c r="L144">
        <v>3001.1631195133386</v>
      </c>
      <c r="N144" t="s">
        <v>358</v>
      </c>
      <c r="O144" t="s">
        <v>359</v>
      </c>
      <c r="P144">
        <v>3034.6469292484821</v>
      </c>
    </row>
    <row r="145" spans="10:16" x14ac:dyDescent="0.45">
      <c r="J145" t="s">
        <v>360</v>
      </c>
      <c r="K145" t="s">
        <v>361</v>
      </c>
      <c r="L145">
        <v>28321.950614319943</v>
      </c>
      <c r="N145" t="s">
        <v>360</v>
      </c>
      <c r="O145" t="s">
        <v>361</v>
      </c>
      <c r="P145">
        <v>15118.190269963905</v>
      </c>
    </row>
    <row r="146" spans="10:16" x14ac:dyDescent="0.45">
      <c r="J146" t="s">
        <v>63</v>
      </c>
      <c r="K146" t="s">
        <v>362</v>
      </c>
      <c r="L146">
        <v>55285.899193430414</v>
      </c>
      <c r="N146" t="s">
        <v>63</v>
      </c>
      <c r="O146" t="s">
        <v>362</v>
      </c>
      <c r="P146">
        <v>26948.591937164463</v>
      </c>
    </row>
    <row r="147" spans="10:16" x14ac:dyDescent="0.45">
      <c r="J147" t="s">
        <v>88</v>
      </c>
      <c r="K147" t="s">
        <v>363</v>
      </c>
      <c r="L147">
        <v>155941.28821079066</v>
      </c>
      <c r="N147" t="s">
        <v>88</v>
      </c>
      <c r="O147" t="s">
        <v>363</v>
      </c>
      <c r="P147">
        <v>107859.68599930758</v>
      </c>
    </row>
    <row r="148" spans="10:16" x14ac:dyDescent="0.45">
      <c r="J148" t="s">
        <v>89</v>
      </c>
      <c r="K148" t="s">
        <v>364</v>
      </c>
      <c r="L148">
        <v>43394.273282231392</v>
      </c>
      <c r="N148" t="s">
        <v>89</v>
      </c>
      <c r="O148" t="s">
        <v>364</v>
      </c>
      <c r="P148">
        <v>22543.918316410469</v>
      </c>
    </row>
    <row r="149" spans="10:16" x14ac:dyDescent="0.45">
      <c r="J149" t="s">
        <v>365</v>
      </c>
      <c r="K149" t="s">
        <v>366</v>
      </c>
      <c r="L149">
        <v>126959.91713890589</v>
      </c>
      <c r="N149" t="s">
        <v>365</v>
      </c>
      <c r="O149" t="s">
        <v>366</v>
      </c>
      <c r="P149">
        <v>108656.76390491911</v>
      </c>
    </row>
    <row r="150" spans="10:16" x14ac:dyDescent="0.45">
      <c r="J150" t="s">
        <v>367</v>
      </c>
      <c r="K150" t="s">
        <v>368</v>
      </c>
      <c r="N150" t="s">
        <v>367</v>
      </c>
      <c r="O150" t="s">
        <v>368</v>
      </c>
    </row>
    <row r="151" spans="10:16" x14ac:dyDescent="0.45">
      <c r="J151" t="s">
        <v>51</v>
      </c>
      <c r="K151" t="s">
        <v>369</v>
      </c>
      <c r="L151">
        <v>10415.1240234375</v>
      </c>
      <c r="N151" t="s">
        <v>51</v>
      </c>
      <c r="O151" t="s">
        <v>369</v>
      </c>
      <c r="P151">
        <v>7799.09228515625</v>
      </c>
    </row>
    <row r="152" spans="10:16" x14ac:dyDescent="0.45">
      <c r="J152" t="s">
        <v>370</v>
      </c>
      <c r="K152" t="s">
        <v>371</v>
      </c>
      <c r="N152" t="s">
        <v>370</v>
      </c>
      <c r="O152" t="s">
        <v>371</v>
      </c>
    </row>
    <row r="153" spans="10:16" x14ac:dyDescent="0.45">
      <c r="J153" t="s">
        <v>52</v>
      </c>
      <c r="K153" t="s">
        <v>372</v>
      </c>
      <c r="L153">
        <v>18614.988069120322</v>
      </c>
      <c r="N153" t="s">
        <v>52</v>
      </c>
      <c r="O153" t="s">
        <v>372</v>
      </c>
      <c r="P153">
        <v>9197.6183820427232</v>
      </c>
    </row>
    <row r="154" spans="10:16" x14ac:dyDescent="0.45">
      <c r="J154" t="s">
        <v>373</v>
      </c>
      <c r="K154" t="s">
        <v>374</v>
      </c>
      <c r="L154">
        <v>1883.5374311383985</v>
      </c>
      <c r="N154" t="s">
        <v>373</v>
      </c>
      <c r="O154" t="s">
        <v>374</v>
      </c>
      <c r="P154">
        <v>1496.611724128411</v>
      </c>
    </row>
    <row r="155" spans="10:16" x14ac:dyDescent="0.45">
      <c r="J155" t="s">
        <v>375</v>
      </c>
      <c r="K155" t="s">
        <v>376</v>
      </c>
      <c r="L155">
        <v>26182.783157091664</v>
      </c>
      <c r="N155" t="s">
        <v>375</v>
      </c>
      <c r="O155" t="s">
        <v>376</v>
      </c>
      <c r="P155">
        <v>17875.098941926222</v>
      </c>
    </row>
    <row r="156" spans="10:16" x14ac:dyDescent="0.45">
      <c r="J156" t="s">
        <v>377</v>
      </c>
      <c r="K156" t="s">
        <v>378</v>
      </c>
      <c r="L156">
        <v>16262.776955602703</v>
      </c>
      <c r="N156" t="s">
        <v>377</v>
      </c>
      <c r="O156" t="s">
        <v>378</v>
      </c>
      <c r="P156">
        <v>11845.725735979482</v>
      </c>
    </row>
    <row r="157" spans="10:16" x14ac:dyDescent="0.45">
      <c r="J157" t="s">
        <v>69</v>
      </c>
      <c r="K157" t="s">
        <v>379</v>
      </c>
      <c r="L157">
        <v>26185.356471325278</v>
      </c>
      <c r="N157" t="s">
        <v>69</v>
      </c>
      <c r="O157" t="s">
        <v>379</v>
      </c>
      <c r="P157">
        <v>19071.444419646581</v>
      </c>
    </row>
    <row r="158" spans="10:16" x14ac:dyDescent="0.45">
      <c r="J158" t="s">
        <v>380</v>
      </c>
      <c r="K158" t="s">
        <v>381</v>
      </c>
      <c r="L158">
        <v>8194.6385475840307</v>
      </c>
      <c r="N158" t="s">
        <v>380</v>
      </c>
      <c r="O158" t="s">
        <v>381</v>
      </c>
      <c r="P158">
        <v>4125.1616927563</v>
      </c>
    </row>
    <row r="159" spans="10:16" x14ac:dyDescent="0.45">
      <c r="J159" t="s">
        <v>382</v>
      </c>
      <c r="K159" t="s">
        <v>383</v>
      </c>
      <c r="L159">
        <v>17211.757156672367</v>
      </c>
      <c r="N159" t="s">
        <v>382</v>
      </c>
      <c r="O159" t="s">
        <v>383</v>
      </c>
      <c r="P159">
        <v>9809.5362220285224</v>
      </c>
    </row>
    <row r="160" spans="10:16" x14ac:dyDescent="0.45">
      <c r="J160" t="s">
        <v>64</v>
      </c>
      <c r="K160" t="s">
        <v>384</v>
      </c>
      <c r="L160">
        <v>26986.568596749126</v>
      </c>
      <c r="N160" t="s">
        <v>64</v>
      </c>
      <c r="O160" t="s">
        <v>384</v>
      </c>
      <c r="P160">
        <v>14045.071137177483</v>
      </c>
    </row>
    <row r="161" spans="10:16" x14ac:dyDescent="0.45">
      <c r="J161" t="s">
        <v>385</v>
      </c>
      <c r="K161" t="s">
        <v>386</v>
      </c>
      <c r="L161">
        <v>3314.7733223195919</v>
      </c>
      <c r="N161" t="s">
        <v>385</v>
      </c>
      <c r="O161" t="s">
        <v>386</v>
      </c>
      <c r="P161">
        <v>2330.2429394769197</v>
      </c>
    </row>
    <row r="162" spans="10:16" x14ac:dyDescent="0.45">
      <c r="J162" t="s">
        <v>72</v>
      </c>
      <c r="K162" t="s">
        <v>387</v>
      </c>
      <c r="L162">
        <v>71017.774425871685</v>
      </c>
      <c r="N162" t="s">
        <v>72</v>
      </c>
      <c r="O162" t="s">
        <v>387</v>
      </c>
      <c r="P162">
        <v>35844.478646050586</v>
      </c>
    </row>
    <row r="163" spans="10:16" x14ac:dyDescent="0.45">
      <c r="J163" t="s">
        <v>115</v>
      </c>
      <c r="K163" t="s">
        <v>388</v>
      </c>
      <c r="L163">
        <v>5997.4651632371524</v>
      </c>
      <c r="N163" t="s">
        <v>115</v>
      </c>
      <c r="O163" t="s">
        <v>388</v>
      </c>
      <c r="P163">
        <v>4458.6905444265858</v>
      </c>
    </row>
    <row r="164" spans="10:16" x14ac:dyDescent="0.45">
      <c r="J164" t="s">
        <v>389</v>
      </c>
      <c r="K164" t="s">
        <v>390</v>
      </c>
      <c r="L164">
        <v>11220.606998116553</v>
      </c>
      <c r="N164" t="s">
        <v>389</v>
      </c>
      <c r="O164" t="s">
        <v>390</v>
      </c>
      <c r="P164">
        <v>7969.6283599510425</v>
      </c>
    </row>
    <row r="165" spans="10:16" x14ac:dyDescent="0.45">
      <c r="J165" t="s">
        <v>58</v>
      </c>
      <c r="K165" t="s">
        <v>391</v>
      </c>
      <c r="L165">
        <v>34806.948319581694</v>
      </c>
      <c r="N165" t="s">
        <v>58</v>
      </c>
      <c r="O165" t="s">
        <v>391</v>
      </c>
      <c r="P165">
        <v>15033.061265649618</v>
      </c>
    </row>
    <row r="166" spans="10:16" x14ac:dyDescent="0.45">
      <c r="J166" t="s">
        <v>392</v>
      </c>
      <c r="K166" t="s">
        <v>393</v>
      </c>
      <c r="L166">
        <v>19144.726136849778</v>
      </c>
      <c r="N166" t="s">
        <v>392</v>
      </c>
      <c r="O166" t="s">
        <v>393</v>
      </c>
      <c r="P166">
        <v>10458.302724052422</v>
      </c>
    </row>
    <row r="167" spans="10:16" x14ac:dyDescent="0.45">
      <c r="J167" t="s">
        <v>394</v>
      </c>
      <c r="K167" t="s">
        <v>395</v>
      </c>
      <c r="N167" t="s">
        <v>394</v>
      </c>
      <c r="O167" t="s">
        <v>395</v>
      </c>
    </row>
    <row r="168" spans="10:16" x14ac:dyDescent="0.45">
      <c r="J168" t="s">
        <v>128</v>
      </c>
      <c r="K168" t="s">
        <v>396</v>
      </c>
      <c r="L168">
        <v>1705.3791952041599</v>
      </c>
      <c r="N168" t="s">
        <v>128</v>
      </c>
      <c r="O168" t="s">
        <v>396</v>
      </c>
      <c r="P168">
        <v>1317.8878595682165</v>
      </c>
    </row>
    <row r="169" spans="10:16" x14ac:dyDescent="0.45">
      <c r="J169" t="s">
        <v>397</v>
      </c>
      <c r="K169" t="s">
        <v>398</v>
      </c>
      <c r="L169">
        <v>7368.7527529021381</v>
      </c>
      <c r="N169" t="s">
        <v>397</v>
      </c>
      <c r="O169" t="s">
        <v>398</v>
      </c>
      <c r="P169">
        <v>3977.6117127586322</v>
      </c>
    </row>
    <row r="170" spans="10:16" x14ac:dyDescent="0.45">
      <c r="J170" t="s">
        <v>25</v>
      </c>
      <c r="K170" t="s">
        <v>399</v>
      </c>
      <c r="L170">
        <v>31839.759753552396</v>
      </c>
      <c r="N170" t="s">
        <v>25</v>
      </c>
      <c r="O170" t="s">
        <v>399</v>
      </c>
      <c r="P170">
        <v>20269.523509561048</v>
      </c>
    </row>
    <row r="171" spans="10:16" x14ac:dyDescent="0.45">
      <c r="J171" t="s">
        <v>400</v>
      </c>
      <c r="K171" t="s">
        <v>401</v>
      </c>
      <c r="L171">
        <v>1857.6175695030456</v>
      </c>
      <c r="N171" t="s">
        <v>400</v>
      </c>
      <c r="O171" t="s">
        <v>401</v>
      </c>
      <c r="P171">
        <v>1403.0845120923454</v>
      </c>
    </row>
    <row r="172" spans="10:16" x14ac:dyDescent="0.45">
      <c r="J172" t="s">
        <v>87</v>
      </c>
      <c r="K172" t="s">
        <v>402</v>
      </c>
      <c r="L172">
        <v>38779.283044225274</v>
      </c>
      <c r="N172" t="s">
        <v>87</v>
      </c>
      <c r="O172" t="s">
        <v>402</v>
      </c>
      <c r="P172">
        <v>24526.394271601155</v>
      </c>
    </row>
    <row r="173" spans="10:16" x14ac:dyDescent="0.45">
      <c r="J173" t="s">
        <v>403</v>
      </c>
      <c r="K173" t="s">
        <v>404</v>
      </c>
      <c r="L173">
        <v>83521.838579897274</v>
      </c>
      <c r="N173" t="s">
        <v>403</v>
      </c>
      <c r="O173" t="s">
        <v>404</v>
      </c>
      <c r="P173">
        <v>55636.553846256189</v>
      </c>
    </row>
    <row r="174" spans="10:16" x14ac:dyDescent="0.45">
      <c r="J174" t="s">
        <v>126</v>
      </c>
      <c r="K174" t="s">
        <v>405</v>
      </c>
      <c r="L174">
        <v>11686.602066188076</v>
      </c>
      <c r="N174" t="s">
        <v>126</v>
      </c>
      <c r="O174" t="s">
        <v>405</v>
      </c>
      <c r="P174">
        <v>10465.892055851635</v>
      </c>
    </row>
    <row r="175" spans="10:16" x14ac:dyDescent="0.45">
      <c r="J175" t="s">
        <v>406</v>
      </c>
      <c r="K175" t="s">
        <v>407</v>
      </c>
      <c r="N175" t="s">
        <v>406</v>
      </c>
      <c r="O175" t="s">
        <v>407</v>
      </c>
    </row>
    <row r="176" spans="10:16" x14ac:dyDescent="0.45">
      <c r="J176" t="s">
        <v>408</v>
      </c>
      <c r="K176" t="s">
        <v>409</v>
      </c>
      <c r="L176">
        <v>2049.9330525101877</v>
      </c>
      <c r="N176" t="s">
        <v>408</v>
      </c>
      <c r="O176" t="s">
        <v>409</v>
      </c>
      <c r="P176">
        <v>1172.1917875895499</v>
      </c>
    </row>
    <row r="177" spans="10:16" x14ac:dyDescent="0.45">
      <c r="J177" t="s">
        <v>121</v>
      </c>
      <c r="K177" t="s">
        <v>410</v>
      </c>
      <c r="L177">
        <v>9086.8755060962667</v>
      </c>
      <c r="N177" t="s">
        <v>121</v>
      </c>
      <c r="O177" t="s">
        <v>410</v>
      </c>
      <c r="P177">
        <v>7307.8378818892461</v>
      </c>
    </row>
    <row r="178" spans="10:16" x14ac:dyDescent="0.45">
      <c r="J178" t="s">
        <v>123</v>
      </c>
      <c r="K178" t="s">
        <v>411</v>
      </c>
      <c r="L178">
        <v>8708.7998305162619</v>
      </c>
      <c r="N178" t="s">
        <v>123</v>
      </c>
      <c r="O178" t="s">
        <v>411</v>
      </c>
      <c r="P178">
        <v>5448.8922601031718</v>
      </c>
    </row>
    <row r="179" spans="10:16" x14ac:dyDescent="0.45">
      <c r="J179" t="s">
        <v>97</v>
      </c>
      <c r="K179" t="s">
        <v>412</v>
      </c>
      <c r="L179">
        <v>86173.629084173808</v>
      </c>
      <c r="N179" t="s">
        <v>97</v>
      </c>
      <c r="O179" t="s">
        <v>412</v>
      </c>
      <c r="P179">
        <v>50956.693094218521</v>
      </c>
    </row>
    <row r="180" spans="10:16" x14ac:dyDescent="0.45">
      <c r="J180" t="s">
        <v>92</v>
      </c>
      <c r="K180" t="s">
        <v>413</v>
      </c>
      <c r="L180">
        <v>102037.52680023712</v>
      </c>
      <c r="N180" t="s">
        <v>92</v>
      </c>
      <c r="O180" t="s">
        <v>413</v>
      </c>
      <c r="P180">
        <v>60737.886813277903</v>
      </c>
    </row>
    <row r="181" spans="10:16" x14ac:dyDescent="0.45">
      <c r="J181" t="s">
        <v>14</v>
      </c>
      <c r="K181" t="s">
        <v>414</v>
      </c>
      <c r="L181">
        <v>5736.6213433270359</v>
      </c>
      <c r="N181" t="s">
        <v>14</v>
      </c>
      <c r="O181" t="s">
        <v>414</v>
      </c>
      <c r="P181">
        <v>2957.3055914550432</v>
      </c>
    </row>
    <row r="182" spans="10:16" x14ac:dyDescent="0.45">
      <c r="J182" t="s">
        <v>415</v>
      </c>
      <c r="K182" t="s">
        <v>416</v>
      </c>
      <c r="L182">
        <v>14173.00810431538</v>
      </c>
      <c r="N182" t="s">
        <v>415</v>
      </c>
      <c r="O182" t="s">
        <v>416</v>
      </c>
      <c r="P182">
        <v>9955.3354866317513</v>
      </c>
    </row>
    <row r="183" spans="10:16" x14ac:dyDescent="0.45">
      <c r="J183" t="s">
        <v>98</v>
      </c>
      <c r="K183" t="s">
        <v>417</v>
      </c>
      <c r="L183">
        <v>55551.143658637026</v>
      </c>
      <c r="N183" t="s">
        <v>98</v>
      </c>
      <c r="O183" t="s">
        <v>417</v>
      </c>
      <c r="P183">
        <v>37513.296387244161</v>
      </c>
    </row>
    <row r="184" spans="10:16" x14ac:dyDescent="0.45">
      <c r="J184" t="s">
        <v>418</v>
      </c>
      <c r="K184" t="s">
        <v>419</v>
      </c>
      <c r="L184">
        <v>61972.888127538579</v>
      </c>
      <c r="N184" t="s">
        <v>418</v>
      </c>
      <c r="O184" t="s">
        <v>419</v>
      </c>
      <c r="P184">
        <v>40696.125798692272</v>
      </c>
    </row>
    <row r="185" spans="10:16" x14ac:dyDescent="0.45">
      <c r="J185" t="s">
        <v>111</v>
      </c>
      <c r="K185" t="s">
        <v>420</v>
      </c>
      <c r="L185">
        <v>41740.16585300117</v>
      </c>
      <c r="N185" t="s">
        <v>111</v>
      </c>
      <c r="O185" t="s">
        <v>420</v>
      </c>
      <c r="P185">
        <v>36058.166608478794</v>
      </c>
    </row>
    <row r="186" spans="10:16" x14ac:dyDescent="0.45">
      <c r="J186" t="s">
        <v>421</v>
      </c>
      <c r="K186" t="s">
        <v>422</v>
      </c>
      <c r="L186">
        <v>29390.284967005111</v>
      </c>
      <c r="N186" t="s">
        <v>421</v>
      </c>
      <c r="O186" t="s">
        <v>422</v>
      </c>
      <c r="P186">
        <v>17170.033848412379</v>
      </c>
    </row>
    <row r="187" spans="10:16" x14ac:dyDescent="0.45">
      <c r="J187" t="s">
        <v>43</v>
      </c>
      <c r="K187" t="s">
        <v>423</v>
      </c>
      <c r="L187">
        <v>6252.1154319955858</v>
      </c>
      <c r="N187" t="s">
        <v>43</v>
      </c>
      <c r="O187" t="s">
        <v>423</v>
      </c>
      <c r="P187">
        <v>4480.2631346098487</v>
      </c>
    </row>
    <row r="188" spans="10:16" x14ac:dyDescent="0.45">
      <c r="J188" t="s">
        <v>73</v>
      </c>
      <c r="K188" t="s">
        <v>424</v>
      </c>
      <c r="L188">
        <v>41369.422541498956</v>
      </c>
      <c r="N188" t="s">
        <v>73</v>
      </c>
      <c r="O188" t="s">
        <v>424</v>
      </c>
      <c r="P188">
        <v>27245.278840263127</v>
      </c>
    </row>
    <row r="189" spans="10:16" x14ac:dyDescent="0.45">
      <c r="J189" t="s">
        <v>26</v>
      </c>
      <c r="K189" t="s">
        <v>425</v>
      </c>
      <c r="L189">
        <v>17802.418249897237</v>
      </c>
      <c r="N189" t="s">
        <v>26</v>
      </c>
      <c r="O189" t="s">
        <v>425</v>
      </c>
      <c r="P189">
        <v>11600.387399286728</v>
      </c>
    </row>
    <row r="190" spans="10:16" x14ac:dyDescent="0.45">
      <c r="J190" t="s">
        <v>20</v>
      </c>
      <c r="K190" t="s">
        <v>426</v>
      </c>
      <c r="L190">
        <v>11794.137548849178</v>
      </c>
      <c r="N190" t="s">
        <v>20</v>
      </c>
      <c r="O190" t="s">
        <v>426</v>
      </c>
      <c r="P190">
        <v>6894.2670221793451</v>
      </c>
    </row>
    <row r="191" spans="10:16" x14ac:dyDescent="0.45">
      <c r="J191" t="s">
        <v>427</v>
      </c>
      <c r="K191" t="s">
        <v>428</v>
      </c>
      <c r="N191" t="s">
        <v>427</v>
      </c>
      <c r="O191" t="s">
        <v>428</v>
      </c>
      <c r="P191">
        <v>17853.510392706143</v>
      </c>
    </row>
    <row r="192" spans="10:16" x14ac:dyDescent="0.45">
      <c r="J192" t="s">
        <v>429</v>
      </c>
      <c r="K192" t="s">
        <v>430</v>
      </c>
      <c r="L192">
        <v>4874.6899553588992</v>
      </c>
      <c r="N192" t="s">
        <v>429</v>
      </c>
      <c r="O192" t="s">
        <v>430</v>
      </c>
      <c r="P192">
        <v>3669.7387159269474</v>
      </c>
    </row>
    <row r="193" spans="10:16" x14ac:dyDescent="0.45">
      <c r="J193" t="s">
        <v>74</v>
      </c>
      <c r="K193" t="s">
        <v>431</v>
      </c>
      <c r="L193">
        <v>51262.510575688393</v>
      </c>
      <c r="N193" t="s">
        <v>74</v>
      </c>
      <c r="O193" t="s">
        <v>431</v>
      </c>
      <c r="P193">
        <v>26988.1069013509</v>
      </c>
    </row>
    <row r="194" spans="10:16" x14ac:dyDescent="0.45">
      <c r="J194" t="s">
        <v>432</v>
      </c>
      <c r="K194" t="s">
        <v>433</v>
      </c>
      <c r="L194">
        <v>5268.7492489194674</v>
      </c>
      <c r="N194" t="s">
        <v>432</v>
      </c>
      <c r="O194" t="s">
        <v>433</v>
      </c>
      <c r="P194">
        <v>3910.5912778382772</v>
      </c>
    </row>
    <row r="195" spans="10:16" x14ac:dyDescent="0.45">
      <c r="J195" t="s">
        <v>434</v>
      </c>
      <c r="K195" t="s">
        <v>435</v>
      </c>
      <c r="L195">
        <v>50247.849246167578</v>
      </c>
      <c r="N195" t="s">
        <v>434</v>
      </c>
      <c r="O195" t="s">
        <v>435</v>
      </c>
      <c r="P195">
        <v>32323.545645998514</v>
      </c>
    </row>
    <row r="196" spans="10:16" x14ac:dyDescent="0.45">
      <c r="J196" t="s">
        <v>436</v>
      </c>
      <c r="K196" t="s">
        <v>437</v>
      </c>
      <c r="N196" t="s">
        <v>436</v>
      </c>
      <c r="O196" t="s">
        <v>437</v>
      </c>
    </row>
    <row r="197" spans="10:16" x14ac:dyDescent="0.45">
      <c r="J197" t="s">
        <v>41</v>
      </c>
      <c r="K197" t="s">
        <v>438</v>
      </c>
      <c r="L197">
        <v>51679.888380752695</v>
      </c>
      <c r="N197" t="s">
        <v>41</v>
      </c>
      <c r="O197" t="s">
        <v>438</v>
      </c>
      <c r="P197">
        <v>29608.007151395595</v>
      </c>
    </row>
    <row r="198" spans="10:16" x14ac:dyDescent="0.45">
      <c r="J198" t="s">
        <v>439</v>
      </c>
      <c r="K198" t="s">
        <v>440</v>
      </c>
      <c r="L198">
        <v>18523.681015300037</v>
      </c>
      <c r="N198" t="s">
        <v>439</v>
      </c>
      <c r="O198" t="s">
        <v>440</v>
      </c>
      <c r="P198">
        <v>12679.057475323354</v>
      </c>
    </row>
    <row r="199" spans="10:16" x14ac:dyDescent="0.45">
      <c r="J199" t="s">
        <v>441</v>
      </c>
      <c r="K199" t="s">
        <v>442</v>
      </c>
      <c r="L199">
        <v>4371.1113585726471</v>
      </c>
      <c r="N199" t="s">
        <v>441</v>
      </c>
      <c r="O199" t="s">
        <v>442</v>
      </c>
      <c r="P199">
        <v>5769.9823663320321</v>
      </c>
    </row>
    <row r="200" spans="10:16" x14ac:dyDescent="0.45">
      <c r="J200" t="s">
        <v>443</v>
      </c>
      <c r="K200" t="s">
        <v>444</v>
      </c>
      <c r="L200">
        <v>8214.9707295775515</v>
      </c>
      <c r="N200" t="s">
        <v>443</v>
      </c>
      <c r="O200" t="s">
        <v>444</v>
      </c>
      <c r="P200">
        <v>6500.0804396445519</v>
      </c>
    </row>
    <row r="201" spans="10:16" x14ac:dyDescent="0.45">
      <c r="J201" t="s">
        <v>445</v>
      </c>
      <c r="K201" t="s">
        <v>446</v>
      </c>
      <c r="L201">
        <v>68078.194617552319</v>
      </c>
      <c r="N201" t="s">
        <v>445</v>
      </c>
      <c r="O201" t="s">
        <v>446</v>
      </c>
      <c r="P201">
        <v>44398.453410387454</v>
      </c>
    </row>
    <row r="202" spans="10:16" x14ac:dyDescent="0.45">
      <c r="J202" t="s">
        <v>447</v>
      </c>
      <c r="K202" t="s">
        <v>448</v>
      </c>
      <c r="N202" t="s">
        <v>447</v>
      </c>
      <c r="O202" t="s">
        <v>448</v>
      </c>
    </row>
    <row r="203" spans="10:16" x14ac:dyDescent="0.45">
      <c r="J203" t="s">
        <v>107</v>
      </c>
      <c r="K203" t="s">
        <v>449</v>
      </c>
      <c r="L203">
        <v>126046.35485561157</v>
      </c>
      <c r="N203" t="s">
        <v>107</v>
      </c>
      <c r="O203" t="s">
        <v>449</v>
      </c>
      <c r="P203">
        <v>102545.86329127896</v>
      </c>
    </row>
    <row r="204" spans="10:16" x14ac:dyDescent="0.45">
      <c r="J204" t="s">
        <v>78</v>
      </c>
      <c r="K204" t="s">
        <v>450</v>
      </c>
      <c r="L204">
        <v>49558.668912013651</v>
      </c>
      <c r="N204" t="s">
        <v>78</v>
      </c>
      <c r="O204" t="s">
        <v>450</v>
      </c>
      <c r="P204">
        <v>20201.858456166166</v>
      </c>
    </row>
    <row r="205" spans="10:16" x14ac:dyDescent="0.45">
      <c r="J205" t="s">
        <v>451</v>
      </c>
      <c r="K205" t="s">
        <v>452</v>
      </c>
      <c r="L205">
        <v>47404.96484375</v>
      </c>
      <c r="N205" t="s">
        <v>451</v>
      </c>
      <c r="O205" t="s">
        <v>452</v>
      </c>
      <c r="P205">
        <v>23994.013671875</v>
      </c>
    </row>
    <row r="206" spans="10:16" x14ac:dyDescent="0.45">
      <c r="J206" t="s">
        <v>453</v>
      </c>
      <c r="K206" t="s">
        <v>454</v>
      </c>
      <c r="L206">
        <v>3710.8604043459572</v>
      </c>
      <c r="N206" t="s">
        <v>453</v>
      </c>
      <c r="O206" t="s">
        <v>454</v>
      </c>
      <c r="P206">
        <v>1780.7417163686316</v>
      </c>
    </row>
    <row r="207" spans="10:16" x14ac:dyDescent="0.45">
      <c r="J207" t="s">
        <v>455</v>
      </c>
      <c r="K207" t="s">
        <v>456</v>
      </c>
      <c r="L207">
        <v>10973.710171580451</v>
      </c>
      <c r="N207" t="s">
        <v>455</v>
      </c>
      <c r="O207" t="s">
        <v>456</v>
      </c>
      <c r="P207">
        <v>5353.196952980793</v>
      </c>
    </row>
    <row r="208" spans="10:16" x14ac:dyDescent="0.45">
      <c r="J208" t="s">
        <v>112</v>
      </c>
      <c r="K208" t="s">
        <v>457</v>
      </c>
      <c r="L208">
        <v>71375.372789028523</v>
      </c>
      <c r="N208" t="s">
        <v>112</v>
      </c>
      <c r="O208" t="s">
        <v>457</v>
      </c>
      <c r="P208">
        <v>53930.827387262187</v>
      </c>
    </row>
    <row r="209" spans="10:16" x14ac:dyDescent="0.45">
      <c r="J209" t="s">
        <v>458</v>
      </c>
      <c r="K209" t="s">
        <v>459</v>
      </c>
      <c r="L209">
        <v>2115.81616210938</v>
      </c>
      <c r="N209" t="s">
        <v>458</v>
      </c>
      <c r="O209" t="s">
        <v>459</v>
      </c>
      <c r="P209">
        <v>4217.01025390625</v>
      </c>
    </row>
    <row r="210" spans="10:16" x14ac:dyDescent="0.45">
      <c r="J210" t="s">
        <v>460</v>
      </c>
      <c r="K210" t="s">
        <v>461</v>
      </c>
      <c r="L210">
        <v>5070.6486207417975</v>
      </c>
      <c r="N210" t="s">
        <v>460</v>
      </c>
      <c r="O210" t="s">
        <v>461</v>
      </c>
      <c r="P210">
        <v>2994.2803271487464</v>
      </c>
    </row>
    <row r="211" spans="10:16" x14ac:dyDescent="0.45">
      <c r="J211" t="s">
        <v>19</v>
      </c>
      <c r="K211" t="s">
        <v>462</v>
      </c>
      <c r="L211">
        <v>150689.30162582558</v>
      </c>
      <c r="N211" t="s">
        <v>19</v>
      </c>
      <c r="O211" t="s">
        <v>462</v>
      </c>
      <c r="P211">
        <v>87156.187383315017</v>
      </c>
    </row>
    <row r="212" spans="10:16" x14ac:dyDescent="0.45">
      <c r="J212" t="s">
        <v>463</v>
      </c>
      <c r="K212" t="s">
        <v>464</v>
      </c>
      <c r="L212">
        <v>2674.8931133983069</v>
      </c>
      <c r="N212" t="s">
        <v>463</v>
      </c>
      <c r="O212" t="s">
        <v>464</v>
      </c>
      <c r="P212">
        <v>2353.7823528368081</v>
      </c>
    </row>
    <row r="213" spans="10:16" x14ac:dyDescent="0.45">
      <c r="J213" t="s">
        <v>465</v>
      </c>
      <c r="K213" t="s">
        <v>466</v>
      </c>
      <c r="L213">
        <v>3522.305880091194</v>
      </c>
      <c r="N213" t="s">
        <v>465</v>
      </c>
      <c r="O213" t="s">
        <v>466</v>
      </c>
      <c r="P213">
        <v>2560.0498580759267</v>
      </c>
    </row>
    <row r="214" spans="10:16" x14ac:dyDescent="0.45">
      <c r="J214" t="s">
        <v>30</v>
      </c>
      <c r="K214" t="s">
        <v>467</v>
      </c>
      <c r="L214">
        <v>13264.027090968028</v>
      </c>
      <c r="N214" t="s">
        <v>30</v>
      </c>
      <c r="O214" t="s">
        <v>467</v>
      </c>
      <c r="P214">
        <v>7933.7369785899909</v>
      </c>
    </row>
    <row r="215" spans="10:16" x14ac:dyDescent="0.45">
      <c r="J215" t="s">
        <v>468</v>
      </c>
      <c r="K215" t="s">
        <v>469</v>
      </c>
      <c r="N215" t="s">
        <v>468</v>
      </c>
      <c r="O215" t="s">
        <v>469</v>
      </c>
      <c r="P215">
        <v>52247.207827641512</v>
      </c>
    </row>
    <row r="216" spans="10:16" x14ac:dyDescent="0.45">
      <c r="J216" t="s">
        <v>470</v>
      </c>
      <c r="K216" t="s">
        <v>471</v>
      </c>
      <c r="L216">
        <v>1601.9646660233948</v>
      </c>
      <c r="N216" t="s">
        <v>470</v>
      </c>
      <c r="O216" t="s">
        <v>471</v>
      </c>
      <c r="P216">
        <v>1341.3899967872794</v>
      </c>
    </row>
    <row r="217" spans="10:16" x14ac:dyDescent="0.45">
      <c r="J217" t="s">
        <v>33</v>
      </c>
      <c r="K217" t="s">
        <v>472</v>
      </c>
      <c r="L217">
        <v>32781.014241203149</v>
      </c>
      <c r="N217" t="s">
        <v>33</v>
      </c>
      <c r="O217" t="s">
        <v>472</v>
      </c>
      <c r="P217">
        <v>14523.53903407022</v>
      </c>
    </row>
    <row r="218" spans="10:16" x14ac:dyDescent="0.45">
      <c r="J218" t="s">
        <v>473</v>
      </c>
      <c r="K218" t="s">
        <v>474</v>
      </c>
      <c r="L218">
        <v>5768.0270956302038</v>
      </c>
      <c r="N218" t="s">
        <v>473</v>
      </c>
      <c r="O218" t="s">
        <v>474</v>
      </c>
      <c r="P218">
        <v>4441.3573098185279</v>
      </c>
    </row>
    <row r="219" spans="10:16" x14ac:dyDescent="0.45">
      <c r="J219" t="s">
        <v>475</v>
      </c>
      <c r="K219" t="s">
        <v>476</v>
      </c>
      <c r="N219" t="s">
        <v>475</v>
      </c>
      <c r="O219" t="s">
        <v>476</v>
      </c>
      <c r="P219">
        <v>1154.8868630410666</v>
      </c>
    </row>
    <row r="220" spans="10:16" x14ac:dyDescent="0.45">
      <c r="J220" t="s">
        <v>477</v>
      </c>
      <c r="K220" t="s">
        <v>478</v>
      </c>
      <c r="L220">
        <v>5517.4211355870366</v>
      </c>
      <c r="N220" t="s">
        <v>477</v>
      </c>
      <c r="O220" t="s">
        <v>478</v>
      </c>
      <c r="P220">
        <v>4158.7420491889106</v>
      </c>
    </row>
    <row r="221" spans="10:16" x14ac:dyDescent="0.45">
      <c r="J221" t="s">
        <v>479</v>
      </c>
      <c r="K221" t="s">
        <v>480</v>
      </c>
      <c r="L221">
        <v>28639.983567456977</v>
      </c>
      <c r="N221" t="s">
        <v>479</v>
      </c>
      <c r="O221" t="s">
        <v>480</v>
      </c>
      <c r="P221">
        <v>16566.138189669487</v>
      </c>
    </row>
    <row r="222" spans="10:16" x14ac:dyDescent="0.45">
      <c r="J222" t="s">
        <v>481</v>
      </c>
      <c r="K222" t="s">
        <v>482</v>
      </c>
      <c r="L222">
        <v>6241.8561446463773</v>
      </c>
      <c r="N222" t="s">
        <v>481</v>
      </c>
      <c r="O222" t="s">
        <v>482</v>
      </c>
      <c r="P222">
        <v>3171.5090583274136</v>
      </c>
    </row>
    <row r="223" spans="10:16" x14ac:dyDescent="0.45">
      <c r="J223" t="s">
        <v>483</v>
      </c>
      <c r="K223" t="s">
        <v>484</v>
      </c>
      <c r="L223">
        <v>21800.526598982215</v>
      </c>
      <c r="N223" t="s">
        <v>483</v>
      </c>
      <c r="O223" t="s">
        <v>484</v>
      </c>
      <c r="P223">
        <v>16543.574305137172</v>
      </c>
    </row>
    <row r="224" spans="10:16" x14ac:dyDescent="0.45">
      <c r="J224" t="s">
        <v>485</v>
      </c>
      <c r="K224" t="s">
        <v>486</v>
      </c>
      <c r="L224">
        <v>48132.356430542954</v>
      </c>
      <c r="N224" t="s">
        <v>485</v>
      </c>
      <c r="O224" t="s">
        <v>486</v>
      </c>
      <c r="P224">
        <v>30147.99036725414</v>
      </c>
    </row>
    <row r="225" spans="10:16" x14ac:dyDescent="0.45">
      <c r="J225" t="s">
        <v>55</v>
      </c>
      <c r="K225" t="s">
        <v>487</v>
      </c>
      <c r="L225">
        <v>57186.371353817427</v>
      </c>
      <c r="N225" t="s">
        <v>55</v>
      </c>
      <c r="O225" t="s">
        <v>487</v>
      </c>
      <c r="P225">
        <v>31336.204385888104</v>
      </c>
    </row>
    <row r="226" spans="10:16" x14ac:dyDescent="0.45">
      <c r="J226" t="s">
        <v>96</v>
      </c>
      <c r="K226" t="s">
        <v>488</v>
      </c>
      <c r="L226">
        <v>71844.912988057898</v>
      </c>
      <c r="N226" t="s">
        <v>96</v>
      </c>
      <c r="O226" t="s">
        <v>488</v>
      </c>
      <c r="P226">
        <v>48772.069605727731</v>
      </c>
    </row>
    <row r="227" spans="10:16" x14ac:dyDescent="0.45">
      <c r="J227" t="s">
        <v>489</v>
      </c>
      <c r="K227" t="s">
        <v>490</v>
      </c>
      <c r="L227">
        <v>11799.202879320083</v>
      </c>
      <c r="N227" t="s">
        <v>489</v>
      </c>
      <c r="O227" t="s">
        <v>490</v>
      </c>
      <c r="P227">
        <v>8391.0700608460193</v>
      </c>
    </row>
    <row r="228" spans="10:16" x14ac:dyDescent="0.45">
      <c r="J228" t="s">
        <v>491</v>
      </c>
      <c r="K228" t="s">
        <v>492</v>
      </c>
      <c r="L228">
        <v>53768.657394566202</v>
      </c>
      <c r="N228" t="s">
        <v>491</v>
      </c>
      <c r="O228" t="s">
        <v>492</v>
      </c>
      <c r="P228">
        <v>44587.591150076594</v>
      </c>
    </row>
    <row r="229" spans="10:16" x14ac:dyDescent="0.45">
      <c r="J229" t="s">
        <v>493</v>
      </c>
      <c r="K229" t="s">
        <v>494</v>
      </c>
      <c r="L229">
        <v>33238.580034375351</v>
      </c>
      <c r="N229" t="s">
        <v>493</v>
      </c>
      <c r="O229" t="s">
        <v>494</v>
      </c>
      <c r="P229">
        <v>25435.228989436178</v>
      </c>
    </row>
    <row r="230" spans="10:16" x14ac:dyDescent="0.45">
      <c r="J230" t="s">
        <v>495</v>
      </c>
      <c r="K230" t="s">
        <v>496</v>
      </c>
      <c r="N230" t="s">
        <v>495</v>
      </c>
      <c r="O230" t="s">
        <v>496</v>
      </c>
    </row>
    <row r="231" spans="10:16" x14ac:dyDescent="0.45">
      <c r="J231" t="s">
        <v>497</v>
      </c>
      <c r="K231" t="s">
        <v>498</v>
      </c>
      <c r="L231">
        <v>37954.38765434712</v>
      </c>
      <c r="N231" t="s">
        <v>497</v>
      </c>
      <c r="O231" t="s">
        <v>498</v>
      </c>
      <c r="P231">
        <v>27484.641443249922</v>
      </c>
    </row>
    <row r="232" spans="10:16" x14ac:dyDescent="0.45">
      <c r="J232" t="s">
        <v>499</v>
      </c>
      <c r="K232" t="s">
        <v>500</v>
      </c>
      <c r="L232">
        <v>2742.6595218361299</v>
      </c>
      <c r="N232" t="s">
        <v>499</v>
      </c>
      <c r="O232" t="s">
        <v>500</v>
      </c>
      <c r="P232">
        <v>2377.511371857513</v>
      </c>
    </row>
    <row r="233" spans="10:16" x14ac:dyDescent="0.45">
      <c r="J233" t="s">
        <v>501</v>
      </c>
      <c r="K233" t="s">
        <v>502</v>
      </c>
      <c r="L233">
        <v>23509.7241651154</v>
      </c>
      <c r="N233" t="s">
        <v>501</v>
      </c>
      <c r="O233" t="s">
        <v>502</v>
      </c>
      <c r="P233">
        <v>12283.974340701076</v>
      </c>
    </row>
    <row r="234" spans="10:16" x14ac:dyDescent="0.45">
      <c r="J234" t="s">
        <v>503</v>
      </c>
      <c r="K234" t="s">
        <v>504</v>
      </c>
      <c r="L234">
        <v>38154.329161467787</v>
      </c>
      <c r="N234" t="s">
        <v>503</v>
      </c>
      <c r="O234" t="s">
        <v>504</v>
      </c>
      <c r="P234">
        <v>19866.19915716644</v>
      </c>
    </row>
    <row r="235" spans="10:16" x14ac:dyDescent="0.45">
      <c r="J235" t="s">
        <v>505</v>
      </c>
      <c r="K235" t="s">
        <v>506</v>
      </c>
      <c r="L235">
        <v>3365.4580900730589</v>
      </c>
      <c r="N235" t="s">
        <v>505</v>
      </c>
      <c r="O235" t="s">
        <v>506</v>
      </c>
      <c r="P235">
        <v>1879.6683551724268</v>
      </c>
    </row>
    <row r="236" spans="10:16" x14ac:dyDescent="0.45">
      <c r="J236" t="s">
        <v>18</v>
      </c>
      <c r="K236" t="s">
        <v>507</v>
      </c>
      <c r="L236">
        <v>24712.06585751352</v>
      </c>
      <c r="N236" t="s">
        <v>18</v>
      </c>
      <c r="O236" t="s">
        <v>507</v>
      </c>
      <c r="P236">
        <v>15791.171476220708</v>
      </c>
    </row>
    <row r="237" spans="10:16" x14ac:dyDescent="0.45">
      <c r="J237" t="s">
        <v>508</v>
      </c>
      <c r="K237" t="s">
        <v>509</v>
      </c>
      <c r="L237">
        <v>5405.9801161913865</v>
      </c>
      <c r="N237" t="s">
        <v>508</v>
      </c>
      <c r="O237" t="s">
        <v>509</v>
      </c>
      <c r="P237">
        <v>2975.4709747609231</v>
      </c>
    </row>
    <row r="238" spans="10:16" x14ac:dyDescent="0.45">
      <c r="J238" t="s">
        <v>510</v>
      </c>
      <c r="K238" t="s">
        <v>511</v>
      </c>
      <c r="L238">
        <v>21213.086250195294</v>
      </c>
      <c r="N238" t="s">
        <v>510</v>
      </c>
      <c r="O238" t="s">
        <v>511</v>
      </c>
      <c r="P238">
        <v>12714.813724036263</v>
      </c>
    </row>
    <row r="239" spans="10:16" x14ac:dyDescent="0.45">
      <c r="J239" t="s">
        <v>512</v>
      </c>
      <c r="K239" t="s">
        <v>513</v>
      </c>
      <c r="L239">
        <v>22984.687988850797</v>
      </c>
      <c r="N239" t="s">
        <v>512</v>
      </c>
      <c r="O239" t="s">
        <v>513</v>
      </c>
      <c r="P239">
        <v>15215.46122934712</v>
      </c>
    </row>
    <row r="240" spans="10:16" x14ac:dyDescent="0.45">
      <c r="J240" t="s">
        <v>514</v>
      </c>
      <c r="K240" t="s">
        <v>515</v>
      </c>
      <c r="L240">
        <v>4422.7788217239895</v>
      </c>
      <c r="N240" t="s">
        <v>514</v>
      </c>
      <c r="O240" t="s">
        <v>515</v>
      </c>
      <c r="P240">
        <v>3107.5718458796646</v>
      </c>
    </row>
    <row r="241" spans="10:16" x14ac:dyDescent="0.45">
      <c r="J241" t="s">
        <v>516</v>
      </c>
      <c r="K241" t="s">
        <v>517</v>
      </c>
      <c r="L241">
        <v>11271.564355007054</v>
      </c>
      <c r="N241" t="s">
        <v>516</v>
      </c>
      <c r="O241" t="s">
        <v>517</v>
      </c>
      <c r="P241">
        <v>7985.2389307889225</v>
      </c>
    </row>
    <row r="242" spans="10:16" x14ac:dyDescent="0.45">
      <c r="J242" t="s">
        <v>518</v>
      </c>
      <c r="K242" t="s">
        <v>519</v>
      </c>
      <c r="N242" t="s">
        <v>518</v>
      </c>
      <c r="O242" t="s">
        <v>519</v>
      </c>
      <c r="P242">
        <v>5471.7967940230246</v>
      </c>
    </row>
    <row r="243" spans="10:16" x14ac:dyDescent="0.45">
      <c r="J243" t="s">
        <v>520</v>
      </c>
      <c r="K243" t="s">
        <v>521</v>
      </c>
      <c r="L243">
        <v>10973.710171580447</v>
      </c>
      <c r="N243" t="s">
        <v>520</v>
      </c>
      <c r="O243" t="s">
        <v>521</v>
      </c>
      <c r="P243">
        <v>5353.196952980793</v>
      </c>
    </row>
    <row r="244" spans="10:16" x14ac:dyDescent="0.45">
      <c r="J244" t="s">
        <v>522</v>
      </c>
      <c r="K244" t="s">
        <v>523</v>
      </c>
      <c r="L244">
        <v>5517.4211355870384</v>
      </c>
      <c r="N244" t="s">
        <v>522</v>
      </c>
      <c r="O244" t="s">
        <v>523</v>
      </c>
      <c r="P244">
        <v>4158.7420491889106</v>
      </c>
    </row>
    <row r="245" spans="10:16" x14ac:dyDescent="0.45">
      <c r="J245" t="s">
        <v>524</v>
      </c>
      <c r="K245" t="s">
        <v>525</v>
      </c>
      <c r="L245">
        <v>36328.513006568486</v>
      </c>
      <c r="N245" t="s">
        <v>524</v>
      </c>
      <c r="O245" t="s">
        <v>525</v>
      </c>
      <c r="P245">
        <v>29825.462875301695</v>
      </c>
    </row>
    <row r="246" spans="10:16" x14ac:dyDescent="0.45">
      <c r="J246" t="s">
        <v>65</v>
      </c>
      <c r="K246" t="s">
        <v>526</v>
      </c>
      <c r="L246">
        <v>14521.008093763836</v>
      </c>
      <c r="N246" t="s">
        <v>65</v>
      </c>
      <c r="O246" t="s">
        <v>526</v>
      </c>
      <c r="P246">
        <v>10782.543838244115</v>
      </c>
    </row>
    <row r="247" spans="10:16" x14ac:dyDescent="0.45">
      <c r="J247" t="s">
        <v>527</v>
      </c>
      <c r="K247" t="s">
        <v>528</v>
      </c>
      <c r="L247">
        <v>45639.019273594407</v>
      </c>
      <c r="N247" t="s">
        <v>527</v>
      </c>
      <c r="O247" t="s">
        <v>528</v>
      </c>
      <c r="P247">
        <v>25890.054890105785</v>
      </c>
    </row>
    <row r="248" spans="10:16" x14ac:dyDescent="0.45">
      <c r="J248" t="s">
        <v>529</v>
      </c>
      <c r="K248" t="s">
        <v>530</v>
      </c>
      <c r="N248" t="s">
        <v>529</v>
      </c>
      <c r="O248" t="s">
        <v>530</v>
      </c>
      <c r="P248">
        <v>3775.7556591636967</v>
      </c>
    </row>
    <row r="249" spans="10:16" x14ac:dyDescent="0.45">
      <c r="J249" t="s">
        <v>133</v>
      </c>
      <c r="K249" t="s">
        <v>531</v>
      </c>
      <c r="L249">
        <v>4220.79638671875</v>
      </c>
      <c r="N249" t="s">
        <v>133</v>
      </c>
      <c r="O249" t="s">
        <v>531</v>
      </c>
      <c r="P249">
        <v>2317.27978515625</v>
      </c>
    </row>
    <row r="250" spans="10:16" x14ac:dyDescent="0.45">
      <c r="J250" t="s">
        <v>113</v>
      </c>
      <c r="K250" t="s">
        <v>532</v>
      </c>
      <c r="L250">
        <v>3273.2671741363974</v>
      </c>
      <c r="N250" t="s">
        <v>113</v>
      </c>
      <c r="O250" t="s">
        <v>532</v>
      </c>
      <c r="P250">
        <v>2189.9648591900318</v>
      </c>
    </row>
    <row r="251" spans="10:16" x14ac:dyDescent="0.45">
      <c r="J251" t="s">
        <v>48</v>
      </c>
      <c r="K251" t="s">
        <v>533</v>
      </c>
      <c r="L251">
        <v>18550.462890625</v>
      </c>
      <c r="N251" t="s">
        <v>48</v>
      </c>
      <c r="O251" t="s">
        <v>533</v>
      </c>
      <c r="P251">
        <v>9921.833984375</v>
      </c>
    </row>
    <row r="252" spans="10:16" x14ac:dyDescent="0.45">
      <c r="J252" t="s">
        <v>534</v>
      </c>
      <c r="K252" t="s">
        <v>535</v>
      </c>
      <c r="L252">
        <v>24933.057303754314</v>
      </c>
      <c r="N252" t="s">
        <v>534</v>
      </c>
      <c r="O252" t="s">
        <v>535</v>
      </c>
      <c r="P252">
        <v>14040.938557819722</v>
      </c>
    </row>
    <row r="253" spans="10:16" x14ac:dyDescent="0.45">
      <c r="J253" t="s">
        <v>54</v>
      </c>
      <c r="K253" t="s">
        <v>536</v>
      </c>
      <c r="L253">
        <v>36417.874162496009</v>
      </c>
      <c r="N253" t="s">
        <v>54</v>
      </c>
      <c r="O253" t="s">
        <v>536</v>
      </c>
      <c r="P253">
        <v>22168.611418967605</v>
      </c>
    </row>
    <row r="254" spans="10:16" x14ac:dyDescent="0.45">
      <c r="J254" t="s">
        <v>109</v>
      </c>
      <c r="K254" t="s">
        <v>537</v>
      </c>
      <c r="L254">
        <v>85809.900384635912</v>
      </c>
      <c r="N254" t="s">
        <v>109</v>
      </c>
      <c r="O254" t="s">
        <v>537</v>
      </c>
      <c r="P254">
        <v>56849.46979231594</v>
      </c>
    </row>
    <row r="255" spans="10:16" x14ac:dyDescent="0.45">
      <c r="J255" t="s">
        <v>50</v>
      </c>
      <c r="K255" t="s">
        <v>538</v>
      </c>
      <c r="L255">
        <v>11878.552870684822</v>
      </c>
      <c r="N255" t="s">
        <v>50</v>
      </c>
      <c r="O255" t="s">
        <v>538</v>
      </c>
      <c r="P255">
        <v>6799.5733284218295</v>
      </c>
    </row>
    <row r="256" spans="10:16" x14ac:dyDescent="0.45">
      <c r="J256" t="s">
        <v>539</v>
      </c>
      <c r="K256" t="s">
        <v>540</v>
      </c>
      <c r="L256">
        <v>21272.080067366205</v>
      </c>
      <c r="N256" t="s">
        <v>539</v>
      </c>
      <c r="O256" t="s">
        <v>540</v>
      </c>
      <c r="P256">
        <v>12378.842727427951</v>
      </c>
    </row>
    <row r="257" spans="10:16" x14ac:dyDescent="0.45">
      <c r="J257" t="s">
        <v>541</v>
      </c>
      <c r="K257" t="s">
        <v>542</v>
      </c>
      <c r="N257" t="s">
        <v>541</v>
      </c>
      <c r="O257" t="s">
        <v>542</v>
      </c>
    </row>
    <row r="258" spans="10:16" x14ac:dyDescent="0.45">
      <c r="J258" t="s">
        <v>543</v>
      </c>
      <c r="K258" t="s">
        <v>544</v>
      </c>
      <c r="N258" t="s">
        <v>543</v>
      </c>
      <c r="O258" t="s">
        <v>544</v>
      </c>
    </row>
    <row r="259" spans="10:16" x14ac:dyDescent="0.45">
      <c r="J259" t="s">
        <v>545</v>
      </c>
      <c r="K259" t="s">
        <v>546</v>
      </c>
      <c r="N259" t="s">
        <v>545</v>
      </c>
      <c r="O259" t="s">
        <v>546</v>
      </c>
      <c r="P259">
        <v>32573.716681217371</v>
      </c>
    </row>
    <row r="260" spans="10:16" x14ac:dyDescent="0.45">
      <c r="J260" t="s">
        <v>547</v>
      </c>
      <c r="K260" t="s">
        <v>548</v>
      </c>
      <c r="L260">
        <v>16385.506556545766</v>
      </c>
      <c r="N260" t="s">
        <v>547</v>
      </c>
      <c r="O260" t="s">
        <v>548</v>
      </c>
      <c r="P260">
        <v>7671.5819778083951</v>
      </c>
    </row>
    <row r="261" spans="10:16" x14ac:dyDescent="0.45">
      <c r="J261" t="s">
        <v>549</v>
      </c>
      <c r="K261" t="s">
        <v>550</v>
      </c>
      <c r="L261">
        <v>3605.6073669173516</v>
      </c>
      <c r="N261" t="s">
        <v>549</v>
      </c>
      <c r="O261" t="s">
        <v>550</v>
      </c>
      <c r="P261">
        <v>2965.8414325737776</v>
      </c>
    </row>
    <row r="262" spans="10:16" x14ac:dyDescent="0.45">
      <c r="J262" t="s">
        <v>551</v>
      </c>
      <c r="K262" t="s">
        <v>552</v>
      </c>
      <c r="L262">
        <v>24526.870445010471</v>
      </c>
      <c r="N262" t="s">
        <v>551</v>
      </c>
      <c r="O262" t="s">
        <v>552</v>
      </c>
      <c r="P262">
        <v>15276.489247409138</v>
      </c>
    </row>
    <row r="263" spans="10:16" x14ac:dyDescent="0.45">
      <c r="J263" t="s">
        <v>553</v>
      </c>
      <c r="K263" t="s">
        <v>554</v>
      </c>
      <c r="L263">
        <v>8736.8160677253818</v>
      </c>
      <c r="N263" t="s">
        <v>553</v>
      </c>
      <c r="O263" t="s">
        <v>554</v>
      </c>
      <c r="P263">
        <v>5681.778127688427</v>
      </c>
    </row>
    <row r="264" spans="10:16" x14ac:dyDescent="0.45">
      <c r="J264" t="s">
        <v>555</v>
      </c>
      <c r="K264" t="s">
        <v>556</v>
      </c>
      <c r="L264">
        <v>17864.416014511753</v>
      </c>
      <c r="N264" t="s">
        <v>555</v>
      </c>
      <c r="O264" t="s">
        <v>556</v>
      </c>
      <c r="P264">
        <v>8714.9196635613189</v>
      </c>
    </row>
    <row r="265" spans="10:16" x14ac:dyDescent="0.45">
      <c r="J265" t="s">
        <v>557</v>
      </c>
      <c r="K265" t="s">
        <v>558</v>
      </c>
      <c r="N265" t="s">
        <v>557</v>
      </c>
      <c r="O265" t="s">
        <v>558</v>
      </c>
    </row>
    <row r="266" spans="10:16" x14ac:dyDescent="0.45">
      <c r="J266" t="s">
        <v>110</v>
      </c>
      <c r="K266" t="s">
        <v>559</v>
      </c>
      <c r="L266">
        <v>15456.19899336581</v>
      </c>
      <c r="N266" t="s">
        <v>110</v>
      </c>
      <c r="O266" t="s">
        <v>559</v>
      </c>
      <c r="P266">
        <v>13397.523481334631</v>
      </c>
    </row>
    <row r="267" spans="10:16" x14ac:dyDescent="0.45">
      <c r="J267" t="s">
        <v>560</v>
      </c>
      <c r="K267" t="s">
        <v>561</v>
      </c>
      <c r="L267">
        <v>4214.8927780479917</v>
      </c>
      <c r="N267" t="s">
        <v>560</v>
      </c>
      <c r="O267" t="s">
        <v>561</v>
      </c>
      <c r="P267">
        <v>3337.4730688769632</v>
      </c>
    </row>
    <row r="268" spans="10:16" x14ac:dyDescent="0.45">
      <c r="J268" t="s">
        <v>119</v>
      </c>
      <c r="K268" t="s">
        <v>562</v>
      </c>
      <c r="L268">
        <v>5928.0806252756047</v>
      </c>
      <c r="N268" t="s">
        <v>119</v>
      </c>
      <c r="O268" t="s">
        <v>562</v>
      </c>
      <c r="P268">
        <v>4045.8986473879763</v>
      </c>
    </row>
  </sheetData>
  <autoFilter ref="A1:E98" xr:uid="{86337F55-8C65-4BFA-8A20-61FFBE98CEFE}"/>
  <sortState xmlns:xlrd2="http://schemas.microsoft.com/office/spreadsheetml/2017/richdata2" ref="A3:D98">
    <sortCondition ref="A3:A9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B7268-D74F-48AE-9B83-CF90FD63230E}">
  <dimension ref="A1:K87"/>
  <sheetViews>
    <sheetView tabSelected="1" zoomScaleNormal="100" workbookViewId="0">
      <pane xSplit="2" ySplit="2" topLeftCell="C73" activePane="bottomRight" state="frozen"/>
      <selection pane="topRight" activeCell="C1" sqref="C1"/>
      <selection pane="bottomLeft" activeCell="A3" sqref="A3"/>
      <selection pane="bottomRight" activeCell="K87" sqref="K87"/>
    </sheetView>
  </sheetViews>
  <sheetFormatPr defaultRowHeight="14.25" x14ac:dyDescent="0.45"/>
  <cols>
    <col min="1" max="1" width="17.53125" bestFit="1" customWidth="1"/>
    <col min="3" max="3" width="12.265625" bestFit="1" customWidth="1"/>
    <col min="4" max="4" width="12.86328125" bestFit="1" customWidth="1"/>
    <col min="5" max="5" width="12.86328125" customWidth="1"/>
    <col min="6" max="6" width="12.265625" bestFit="1" customWidth="1"/>
    <col min="7" max="7" width="12.86328125" bestFit="1" customWidth="1"/>
    <col min="8" max="8" width="12.86328125" customWidth="1"/>
    <col min="9" max="9" width="11.73046875" bestFit="1" customWidth="1"/>
  </cols>
  <sheetData>
    <row r="1" spans="1:11" x14ac:dyDescent="0.45">
      <c r="C1">
        <v>2025</v>
      </c>
      <c r="D1">
        <v>2025</v>
      </c>
      <c r="E1">
        <v>2025</v>
      </c>
      <c r="F1">
        <v>2015</v>
      </c>
      <c r="G1">
        <v>2015</v>
      </c>
      <c r="H1">
        <v>2015</v>
      </c>
    </row>
    <row r="2" spans="1:11" x14ac:dyDescent="0.45">
      <c r="A2" t="s">
        <v>578</v>
      </c>
      <c r="B2" t="s">
        <v>1</v>
      </c>
      <c r="C2" t="s">
        <v>564</v>
      </c>
      <c r="D2" t="s">
        <v>568</v>
      </c>
      <c r="E2" t="s">
        <v>573</v>
      </c>
      <c r="F2" t="s">
        <v>564</v>
      </c>
      <c r="G2" t="s">
        <v>568</v>
      </c>
      <c r="H2" t="s">
        <v>573</v>
      </c>
      <c r="I2" t="s">
        <v>567</v>
      </c>
      <c r="J2" t="s">
        <v>574</v>
      </c>
    </row>
    <row r="3" spans="1:11" x14ac:dyDescent="0.45">
      <c r="A3" t="str">
        <f>VLOOKUP(B3,'List of economies'!$A$2:$D$219,4,FALSE)</f>
        <v>High income</v>
      </c>
      <c r="B3" t="s">
        <v>94</v>
      </c>
      <c r="C3">
        <v>72111.184462812598</v>
      </c>
      <c r="D3">
        <v>8.1000000000000003E-2</v>
      </c>
      <c r="E3">
        <f t="shared" ref="E3:E34" si="0">C3*D3</f>
        <v>5841.0059414878206</v>
      </c>
      <c r="F3">
        <v>46464.586762792911</v>
      </c>
      <c r="G3">
        <v>7.0999999999999994E-2</v>
      </c>
      <c r="H3">
        <f t="shared" ref="H3:H34" si="1">F3*G3</f>
        <v>3298.9856601582965</v>
      </c>
      <c r="I3">
        <f t="shared" ref="I3:I34" si="2">C3/F3-1</f>
        <v>0.55196009448977845</v>
      </c>
      <c r="J3">
        <f t="shared" ref="J3:J34" si="3">E3/H3-1</f>
        <v>0.77054602329115585</v>
      </c>
      <c r="K3">
        <f>J3/I3</f>
        <v>1.3960176305923604</v>
      </c>
    </row>
    <row r="4" spans="1:11" x14ac:dyDescent="0.45">
      <c r="A4" t="str">
        <f>VLOOKUP(B4,'List of economies'!$A$2:$D$219,4,FALSE)</f>
        <v>High income</v>
      </c>
      <c r="B4" t="s">
        <v>70</v>
      </c>
      <c r="C4">
        <v>73911.43966313597</v>
      </c>
      <c r="D4">
        <v>0.115</v>
      </c>
      <c r="E4">
        <f t="shared" si="0"/>
        <v>8499.815561260637</v>
      </c>
      <c r="F4">
        <v>49549.316231144054</v>
      </c>
      <c r="G4">
        <v>9.6000000000000002E-2</v>
      </c>
      <c r="H4">
        <f t="shared" si="1"/>
        <v>4756.7343581898294</v>
      </c>
      <c r="I4">
        <f t="shared" si="2"/>
        <v>0.49167426081813792</v>
      </c>
      <c r="J4">
        <f t="shared" si="3"/>
        <v>0.78690145827172775</v>
      </c>
      <c r="K4">
        <f t="shared" ref="K4:K67" si="4">J4/I4</f>
        <v>1.6004528220825238</v>
      </c>
    </row>
    <row r="5" spans="1:11" x14ac:dyDescent="0.45">
      <c r="A5" t="str">
        <f>VLOOKUP(B5,'List of economies'!$A$2:$D$219,4,FALSE)</f>
        <v>High income</v>
      </c>
      <c r="B5" t="s">
        <v>102</v>
      </c>
      <c r="C5">
        <v>73514.483104525832</v>
      </c>
      <c r="D5">
        <v>6.8000000000000005E-2</v>
      </c>
      <c r="E5">
        <f t="shared" si="0"/>
        <v>4998.9848511077571</v>
      </c>
      <c r="F5">
        <v>46071.914889496016</v>
      </c>
      <c r="G5">
        <v>6.5000000000000002E-2</v>
      </c>
      <c r="H5">
        <f t="shared" si="1"/>
        <v>2994.6744678172413</v>
      </c>
      <c r="I5">
        <f t="shared" si="2"/>
        <v>0.59564635593834359</v>
      </c>
      <c r="J5">
        <f t="shared" si="3"/>
        <v>0.66929157236626713</v>
      </c>
      <c r="K5">
        <f t="shared" si="4"/>
        <v>1.1236391622205217</v>
      </c>
    </row>
    <row r="6" spans="1:11" x14ac:dyDescent="0.45">
      <c r="A6" t="str">
        <f>VLOOKUP(B6,'List of economies'!$A$2:$D$219,4,FALSE)</f>
        <v>High income</v>
      </c>
      <c r="B6" t="s">
        <v>84</v>
      </c>
      <c r="C6">
        <v>42224.444535951698</v>
      </c>
      <c r="D6">
        <v>9.3000000000000013E-2</v>
      </c>
      <c r="E6">
        <f t="shared" si="0"/>
        <v>3926.8733418435086</v>
      </c>
      <c r="F6">
        <v>17652.947096756332</v>
      </c>
      <c r="G6">
        <v>9.4E-2</v>
      </c>
      <c r="H6">
        <f t="shared" si="1"/>
        <v>1659.3770270950952</v>
      </c>
      <c r="I6">
        <f t="shared" si="2"/>
        <v>1.3919204144508139</v>
      </c>
      <c r="J6">
        <f t="shared" si="3"/>
        <v>1.3664744525949546</v>
      </c>
      <c r="K6">
        <f t="shared" si="4"/>
        <v>0.98171880978848991</v>
      </c>
    </row>
    <row r="7" spans="1:11" x14ac:dyDescent="0.45">
      <c r="A7" t="str">
        <f>VLOOKUP(B7,'List of economies'!$A$2:$D$219,4,FALSE)</f>
        <v>High income</v>
      </c>
      <c r="B7" t="s">
        <v>81</v>
      </c>
      <c r="C7">
        <v>64610.379517197114</v>
      </c>
      <c r="D7">
        <v>0.10199999999999999</v>
      </c>
      <c r="E7">
        <f t="shared" si="0"/>
        <v>6590.2587107541049</v>
      </c>
      <c r="F7">
        <v>44668.091281430337</v>
      </c>
      <c r="G7">
        <v>5.5E-2</v>
      </c>
      <c r="H7">
        <f t="shared" si="1"/>
        <v>2456.7450204786687</v>
      </c>
      <c r="I7">
        <f t="shared" si="2"/>
        <v>0.44645490021323786</v>
      </c>
      <c r="J7">
        <f t="shared" si="3"/>
        <v>1.6825163603954585</v>
      </c>
      <c r="K7">
        <f t="shared" si="4"/>
        <v>3.7686143876836096</v>
      </c>
    </row>
    <row r="8" spans="1:11" x14ac:dyDescent="0.45">
      <c r="A8" t="str">
        <f>VLOOKUP(B8,'List of economies'!$A$2:$D$219,4,FALSE)</f>
        <v>High income</v>
      </c>
      <c r="B8" t="s">
        <v>34</v>
      </c>
      <c r="C8">
        <v>36181.156616977023</v>
      </c>
      <c r="D8">
        <v>0.156</v>
      </c>
      <c r="E8">
        <f t="shared" si="0"/>
        <v>5644.2604322484158</v>
      </c>
      <c r="F8">
        <v>22468.312574554722</v>
      </c>
      <c r="G8">
        <v>0.10800000000000001</v>
      </c>
      <c r="H8">
        <f t="shared" si="1"/>
        <v>2426.5777580519102</v>
      </c>
      <c r="I8">
        <f t="shared" si="2"/>
        <v>0.61031926616296261</v>
      </c>
      <c r="J8">
        <f t="shared" si="3"/>
        <v>1.3260167177909459</v>
      </c>
      <c r="K8">
        <f t="shared" si="4"/>
        <v>2.1726607552921053</v>
      </c>
    </row>
    <row r="9" spans="1:11" x14ac:dyDescent="0.45">
      <c r="A9" t="str">
        <f>VLOOKUP(B9,'List of economies'!$A$2:$D$219,4,FALSE)</f>
        <v>High income</v>
      </c>
      <c r="B9" t="s">
        <v>79</v>
      </c>
      <c r="C9">
        <v>31106.764355672858</v>
      </c>
      <c r="D9">
        <v>0.10300000000000001</v>
      </c>
      <c r="E9">
        <f t="shared" si="0"/>
        <v>3203.9967286343044</v>
      </c>
      <c r="F9">
        <v>17525.140462514501</v>
      </c>
      <c r="G9">
        <v>5.7000000000000002E-2</v>
      </c>
      <c r="H9">
        <f t="shared" si="1"/>
        <v>998.93300636332651</v>
      </c>
      <c r="I9">
        <f t="shared" si="2"/>
        <v>0.77497946006246576</v>
      </c>
      <c r="J9">
        <f t="shared" si="3"/>
        <v>2.2074190243234031</v>
      </c>
      <c r="K9">
        <f t="shared" si="4"/>
        <v>2.8483581024785849</v>
      </c>
    </row>
    <row r="10" spans="1:11" x14ac:dyDescent="0.45">
      <c r="A10" t="str">
        <f>VLOOKUP(B10,'List of economies'!$A$2:$D$219,4,FALSE)</f>
        <v>High income</v>
      </c>
      <c r="B10" t="s">
        <v>60</v>
      </c>
      <c r="C10">
        <v>49645.745685441332</v>
      </c>
      <c r="D10">
        <v>0.128</v>
      </c>
      <c r="E10">
        <f t="shared" si="0"/>
        <v>6354.6554477364907</v>
      </c>
      <c r="F10">
        <v>22187.17739422802</v>
      </c>
      <c r="G10">
        <v>0.125</v>
      </c>
      <c r="H10">
        <f t="shared" si="1"/>
        <v>2773.3971742785025</v>
      </c>
      <c r="I10">
        <f t="shared" si="2"/>
        <v>1.2375872695891745</v>
      </c>
      <c r="J10">
        <f t="shared" si="3"/>
        <v>1.291289364059315</v>
      </c>
      <c r="K10">
        <f t="shared" si="4"/>
        <v>1.0433925718127073</v>
      </c>
    </row>
    <row r="11" spans="1:11" x14ac:dyDescent="0.45">
      <c r="A11" t="str">
        <f>VLOOKUP(B11,'List of economies'!$A$2:$D$219,4,FALSE)</f>
        <v>High income</v>
      </c>
      <c r="B11" t="s">
        <v>93</v>
      </c>
      <c r="C11">
        <v>62312.07421875</v>
      </c>
      <c r="D11">
        <v>8.199999999999999E-2</v>
      </c>
      <c r="E11">
        <f t="shared" si="0"/>
        <v>5109.5900859374997</v>
      </c>
      <c r="F11">
        <v>29315.724609375</v>
      </c>
      <c r="G11">
        <v>7.400000000000001E-2</v>
      </c>
      <c r="H11">
        <f t="shared" si="1"/>
        <v>2169.3636210937502</v>
      </c>
      <c r="I11">
        <f t="shared" si="2"/>
        <v>1.1255512203448301</v>
      </c>
      <c r="J11">
        <f t="shared" si="3"/>
        <v>1.3553405414631898</v>
      </c>
      <c r="K11">
        <f t="shared" si="4"/>
        <v>1.2041571427091164</v>
      </c>
    </row>
    <row r="12" spans="1:11" x14ac:dyDescent="0.45">
      <c r="A12" t="str">
        <f>VLOOKUP(B12,'List of economies'!$A$2:$D$219,4,FALSE)</f>
        <v>High income</v>
      </c>
      <c r="B12" t="s">
        <v>106</v>
      </c>
      <c r="C12">
        <v>81878.234984918134</v>
      </c>
      <c r="D12">
        <v>6.5000000000000002E-2</v>
      </c>
      <c r="E12">
        <f t="shared" si="0"/>
        <v>5322.0852740196788</v>
      </c>
      <c r="F12">
        <v>48897.209977661121</v>
      </c>
      <c r="G12">
        <v>0.05</v>
      </c>
      <c r="H12">
        <f t="shared" si="1"/>
        <v>2444.8604988830562</v>
      </c>
      <c r="I12">
        <f t="shared" si="2"/>
        <v>0.67449707298891948</v>
      </c>
      <c r="J12">
        <f t="shared" si="3"/>
        <v>1.1768461948855951</v>
      </c>
      <c r="K12">
        <f t="shared" si="4"/>
        <v>1.74477583671431</v>
      </c>
    </row>
    <row r="13" spans="1:11" x14ac:dyDescent="0.45">
      <c r="A13" t="str">
        <f>VLOOKUP(B13,'List of economies'!$A$2:$D$219,4,FALSE)</f>
        <v>High income</v>
      </c>
      <c r="B13" t="s">
        <v>71</v>
      </c>
      <c r="C13">
        <v>49968.710827837298</v>
      </c>
      <c r="D13">
        <v>0.114</v>
      </c>
      <c r="E13">
        <f t="shared" si="0"/>
        <v>5696.4330343734518</v>
      </c>
      <c r="F13">
        <v>29712.629947372814</v>
      </c>
      <c r="G13">
        <v>0.11599999999999999</v>
      </c>
      <c r="H13">
        <f t="shared" si="1"/>
        <v>3446.6650738952462</v>
      </c>
      <c r="I13">
        <f t="shared" si="2"/>
        <v>0.6817330177888048</v>
      </c>
      <c r="J13">
        <f t="shared" si="3"/>
        <v>0.65273762093037724</v>
      </c>
      <c r="K13">
        <f t="shared" si="4"/>
        <v>0.95746810539927507</v>
      </c>
    </row>
    <row r="14" spans="1:11" x14ac:dyDescent="0.45">
      <c r="A14" t="str">
        <f>VLOOKUP(B14,'List of economies'!$A$2:$D$219,4,FALSE)</f>
        <v>High income</v>
      </c>
      <c r="B14" t="s">
        <v>95</v>
      </c>
      <c r="C14">
        <v>65378.384185972063</v>
      </c>
      <c r="D14">
        <v>0.08</v>
      </c>
      <c r="E14">
        <f t="shared" si="0"/>
        <v>5230.2707348777649</v>
      </c>
      <c r="F14">
        <v>42257.859379129681</v>
      </c>
      <c r="G14">
        <v>7.0000000000000007E-2</v>
      </c>
      <c r="H14">
        <f t="shared" si="1"/>
        <v>2958.0501565390778</v>
      </c>
      <c r="I14">
        <f t="shared" si="2"/>
        <v>0.54712957888872982</v>
      </c>
      <c r="J14">
        <f t="shared" si="3"/>
        <v>0.76814809015854824</v>
      </c>
      <c r="K14">
        <f t="shared" si="4"/>
        <v>1.4039600851387477</v>
      </c>
    </row>
    <row r="15" spans="1:11" x14ac:dyDescent="0.45">
      <c r="A15" t="str">
        <f>VLOOKUP(B15,'List of economies'!$A$2:$D$219,4,FALSE)</f>
        <v>High income</v>
      </c>
      <c r="B15" t="s">
        <v>80</v>
      </c>
      <c r="C15">
        <v>62556.918104540004</v>
      </c>
      <c r="D15">
        <v>0.10300000000000001</v>
      </c>
      <c r="E15">
        <f t="shared" si="0"/>
        <v>6443.3625647676208</v>
      </c>
      <c r="F15">
        <v>40905.17677509936</v>
      </c>
      <c r="G15">
        <v>9.6999999999999989E-2</v>
      </c>
      <c r="H15">
        <f t="shared" si="1"/>
        <v>3967.8021471846373</v>
      </c>
      <c r="I15">
        <f t="shared" si="2"/>
        <v>0.5293154323347391</v>
      </c>
      <c r="J15">
        <f t="shared" si="3"/>
        <v>0.62391226320080562</v>
      </c>
      <c r="K15">
        <f t="shared" si="4"/>
        <v>1.1787154220099207</v>
      </c>
    </row>
    <row r="16" spans="1:11" x14ac:dyDescent="0.45">
      <c r="A16" t="str">
        <f>VLOOKUP(B16,'List of economies'!$A$2:$D$219,4,FALSE)</f>
        <v>High income</v>
      </c>
      <c r="B16" t="s">
        <v>85</v>
      </c>
      <c r="C16">
        <v>73551.934769683605</v>
      </c>
      <c r="D16">
        <v>8.900000000000001E-2</v>
      </c>
      <c r="E16">
        <f t="shared" si="0"/>
        <v>6546.1221945018415</v>
      </c>
      <c r="F16">
        <v>48545.40072196204</v>
      </c>
      <c r="G16">
        <v>6.6000000000000003E-2</v>
      </c>
      <c r="H16">
        <f t="shared" si="1"/>
        <v>3203.9964476494947</v>
      </c>
      <c r="I16">
        <f t="shared" si="2"/>
        <v>0.51511644101865572</v>
      </c>
      <c r="J16">
        <f t="shared" si="3"/>
        <v>1.043111564403945</v>
      </c>
      <c r="K16">
        <f t="shared" si="4"/>
        <v>2.0250014974112758</v>
      </c>
    </row>
    <row r="17" spans="1:11" x14ac:dyDescent="0.45">
      <c r="A17" t="str">
        <f>VLOOKUP(B17,'List of economies'!$A$2:$D$219,4,FALSE)</f>
        <v>High income</v>
      </c>
      <c r="B17" t="s">
        <v>57</v>
      </c>
      <c r="C17">
        <v>44327.209780827565</v>
      </c>
      <c r="D17">
        <v>0.13</v>
      </c>
      <c r="E17">
        <f t="shared" si="0"/>
        <v>5762.5372715075837</v>
      </c>
      <c r="F17">
        <v>26607.725679697571</v>
      </c>
      <c r="G17">
        <v>9.6999999999999989E-2</v>
      </c>
      <c r="H17">
        <f t="shared" si="1"/>
        <v>2580.9493909306639</v>
      </c>
      <c r="I17">
        <f t="shared" si="2"/>
        <v>0.66595260017470981</v>
      </c>
      <c r="J17">
        <f t="shared" si="3"/>
        <v>1.2327199796155908</v>
      </c>
      <c r="K17">
        <f t="shared" si="4"/>
        <v>1.851062642134278</v>
      </c>
    </row>
    <row r="18" spans="1:11" x14ac:dyDescent="0.45">
      <c r="A18" t="str">
        <f>VLOOKUP(B18,'List of economies'!$A$2:$D$219,4,FALSE)</f>
        <v>High income</v>
      </c>
      <c r="B18" t="s">
        <v>56</v>
      </c>
      <c r="C18">
        <v>48552.47080925294</v>
      </c>
      <c r="D18">
        <v>0.13</v>
      </c>
      <c r="E18">
        <f t="shared" si="0"/>
        <v>6311.8212052028821</v>
      </c>
      <c r="F18">
        <v>26937.732081886443</v>
      </c>
      <c r="G18">
        <v>8.5999999999999993E-2</v>
      </c>
      <c r="H18">
        <f t="shared" si="1"/>
        <v>2316.6449590422339</v>
      </c>
      <c r="I18">
        <f t="shared" si="2"/>
        <v>0.80239638072207087</v>
      </c>
      <c r="J18">
        <f t="shared" si="3"/>
        <v>1.724552668533363</v>
      </c>
      <c r="K18">
        <f t="shared" si="4"/>
        <v>2.1492528006936547</v>
      </c>
    </row>
    <row r="19" spans="1:11" x14ac:dyDescent="0.45">
      <c r="A19" t="str">
        <f>VLOOKUP(B19,'List of economies'!$A$2:$D$219,4,FALSE)</f>
        <v>High income</v>
      </c>
      <c r="B19" t="s">
        <v>104</v>
      </c>
      <c r="C19">
        <v>84256.845457311152</v>
      </c>
      <c r="D19">
        <v>6.7000000000000004E-2</v>
      </c>
      <c r="E19">
        <f t="shared" si="0"/>
        <v>5645.2086456398474</v>
      </c>
      <c r="F19">
        <v>49201.064096455295</v>
      </c>
      <c r="G19">
        <v>5.5999999999999994E-2</v>
      </c>
      <c r="H19">
        <f t="shared" si="1"/>
        <v>2755.2595894014962</v>
      </c>
      <c r="I19">
        <f t="shared" si="2"/>
        <v>0.71250047137459083</v>
      </c>
      <c r="J19">
        <f t="shared" si="3"/>
        <v>1.0488844925374572</v>
      </c>
      <c r="K19">
        <f t="shared" si="4"/>
        <v>1.4721176120963089</v>
      </c>
    </row>
    <row r="20" spans="1:11" x14ac:dyDescent="0.45">
      <c r="A20" t="str">
        <f>VLOOKUP(B20,'List of economies'!$A$2:$D$219,4,FALSE)</f>
        <v>High income</v>
      </c>
      <c r="B20" t="s">
        <v>103</v>
      </c>
      <c r="C20">
        <v>133437.47011701888</v>
      </c>
      <c r="D20">
        <v>6.7000000000000004E-2</v>
      </c>
      <c r="E20">
        <f t="shared" si="0"/>
        <v>8940.3104978402662</v>
      </c>
      <c r="F20">
        <v>71588.265663837767</v>
      </c>
      <c r="G20">
        <v>6.0999999999999999E-2</v>
      </c>
      <c r="H20">
        <f t="shared" si="1"/>
        <v>4366.8842054941033</v>
      </c>
      <c r="I20">
        <f t="shared" si="2"/>
        <v>0.86395729634813234</v>
      </c>
      <c r="J20">
        <f t="shared" si="3"/>
        <v>1.0472973582840148</v>
      </c>
      <c r="K20">
        <f t="shared" si="4"/>
        <v>1.2122096343312847</v>
      </c>
    </row>
    <row r="21" spans="1:11" x14ac:dyDescent="0.45">
      <c r="A21" t="str">
        <f>VLOOKUP(B21,'List of economies'!$A$2:$D$219,4,FALSE)</f>
        <v>High income</v>
      </c>
      <c r="B21" t="s">
        <v>46</v>
      </c>
      <c r="C21">
        <v>57235.776324413557</v>
      </c>
      <c r="D21">
        <v>0.13699999999999998</v>
      </c>
      <c r="E21">
        <f t="shared" si="0"/>
        <v>7841.3013564446564</v>
      </c>
      <c r="F21">
        <v>35870.792715630116</v>
      </c>
      <c r="G21">
        <v>0.107</v>
      </c>
      <c r="H21">
        <f t="shared" si="1"/>
        <v>3838.1748205724225</v>
      </c>
      <c r="I21">
        <f t="shared" si="2"/>
        <v>0.59560946361450195</v>
      </c>
      <c r="J21">
        <f t="shared" si="3"/>
        <v>1.0429766029456706</v>
      </c>
      <c r="K21">
        <f t="shared" si="4"/>
        <v>1.7511081785307552</v>
      </c>
    </row>
    <row r="22" spans="1:11" x14ac:dyDescent="0.45">
      <c r="A22" t="str">
        <f>VLOOKUP(B22,'List of economies'!$A$2:$D$219,4,FALSE)</f>
        <v>High income</v>
      </c>
      <c r="B22" t="s">
        <v>83</v>
      </c>
      <c r="C22">
        <v>62014.26751536892</v>
      </c>
      <c r="D22">
        <v>9.5000000000000001E-2</v>
      </c>
      <c r="E22">
        <f t="shared" si="0"/>
        <v>5891.3554139600474</v>
      </c>
      <c r="F22">
        <v>37384.37964554059</v>
      </c>
      <c r="G22">
        <v>0.11699999999999999</v>
      </c>
      <c r="H22">
        <f t="shared" si="1"/>
        <v>4373.9724185282485</v>
      </c>
      <c r="I22">
        <f t="shared" si="2"/>
        <v>0.65882831555200938</v>
      </c>
      <c r="J22">
        <f t="shared" si="3"/>
        <v>0.3469118801490676</v>
      </c>
      <c r="K22">
        <f t="shared" si="4"/>
        <v>0.52655884994621427</v>
      </c>
    </row>
    <row r="23" spans="1:11" x14ac:dyDescent="0.45">
      <c r="A23" t="str">
        <f>VLOOKUP(B23,'List of economies'!$A$2:$D$219,4,FALSE)</f>
        <v>High income</v>
      </c>
      <c r="B23" t="s">
        <v>66</v>
      </c>
      <c r="C23">
        <v>52039.171655161132</v>
      </c>
      <c r="D23">
        <v>0.122</v>
      </c>
      <c r="E23">
        <f t="shared" si="0"/>
        <v>6348.7789419296578</v>
      </c>
      <c r="F23">
        <v>40898.806973960003</v>
      </c>
      <c r="G23">
        <v>9.1999999999999998E-2</v>
      </c>
      <c r="H23">
        <f t="shared" si="1"/>
        <v>3762.6902416043204</v>
      </c>
      <c r="I23">
        <f t="shared" si="2"/>
        <v>0.27238849994558834</v>
      </c>
      <c r="J23">
        <f t="shared" si="3"/>
        <v>0.68729779340610597</v>
      </c>
      <c r="K23">
        <f t="shared" si="4"/>
        <v>2.5232261771087945</v>
      </c>
    </row>
    <row r="24" spans="1:11" x14ac:dyDescent="0.45">
      <c r="A24" t="str">
        <f>VLOOKUP(B24,'List of economies'!$A$2:$D$219,4,FALSE)</f>
        <v>High income</v>
      </c>
      <c r="B24" t="s">
        <v>99</v>
      </c>
      <c r="C24">
        <v>52443.596922362623</v>
      </c>
      <c r="D24">
        <v>7.2999999999999995E-2</v>
      </c>
      <c r="E24">
        <f t="shared" si="0"/>
        <v>3828.3825753324713</v>
      </c>
      <c r="F24">
        <v>45267.308534745178</v>
      </c>
      <c r="G24">
        <v>6.0999999999999999E-2</v>
      </c>
      <c r="H24">
        <f t="shared" si="1"/>
        <v>2761.305820619456</v>
      </c>
      <c r="I24">
        <f t="shared" si="2"/>
        <v>0.15853136888201003</v>
      </c>
      <c r="J24">
        <f t="shared" si="3"/>
        <v>0.3864391791538806</v>
      </c>
      <c r="K24">
        <f t="shared" si="4"/>
        <v>2.4376196451157579</v>
      </c>
    </row>
    <row r="25" spans="1:11" x14ac:dyDescent="0.45">
      <c r="A25" t="str">
        <f>VLOOKUP(B25,'List of economies'!$A$2:$D$219,4,FALSE)</f>
        <v>High income</v>
      </c>
      <c r="B25" t="s">
        <v>89</v>
      </c>
      <c r="C25">
        <v>43394.273282231392</v>
      </c>
      <c r="D25">
        <v>8.5999999999999993E-2</v>
      </c>
      <c r="E25">
        <f t="shared" si="0"/>
        <v>3731.9075022718994</v>
      </c>
      <c r="F25">
        <v>22543.918316410469</v>
      </c>
      <c r="G25">
        <v>0.122</v>
      </c>
      <c r="H25">
        <f t="shared" si="1"/>
        <v>2750.3580346020772</v>
      </c>
      <c r="I25">
        <f t="shared" si="2"/>
        <v>0.92487715192985132</v>
      </c>
      <c r="J25">
        <f t="shared" si="3"/>
        <v>0.35688061529481319</v>
      </c>
      <c r="K25">
        <f t="shared" si="4"/>
        <v>0.3858681280537043</v>
      </c>
    </row>
    <row r="26" spans="1:11" x14ac:dyDescent="0.45">
      <c r="A26" t="str">
        <f>VLOOKUP(B26,'List of economies'!$A$2:$D$219,4,FALSE)</f>
        <v>High income</v>
      </c>
      <c r="B26" t="s">
        <v>63</v>
      </c>
      <c r="C26">
        <v>55285.899193430414</v>
      </c>
      <c r="D26">
        <v>0.124</v>
      </c>
      <c r="E26">
        <f t="shared" si="0"/>
        <v>6855.4514999853709</v>
      </c>
      <c r="F26">
        <v>26948.591937164463</v>
      </c>
      <c r="G26">
        <v>0.129</v>
      </c>
      <c r="H26">
        <f t="shared" si="1"/>
        <v>3476.3683598942157</v>
      </c>
      <c r="I26">
        <f t="shared" si="2"/>
        <v>1.0515320177892606</v>
      </c>
      <c r="J26">
        <f t="shared" si="3"/>
        <v>0.97201527291370793</v>
      </c>
      <c r="K26">
        <f t="shared" si="4"/>
        <v>0.92438010109979474</v>
      </c>
    </row>
    <row r="27" spans="1:11" x14ac:dyDescent="0.45">
      <c r="A27" t="str">
        <f>VLOOKUP(B27,'List of economies'!$A$2:$D$219,4,FALSE)</f>
        <v>High income</v>
      </c>
      <c r="B27" t="s">
        <v>88</v>
      </c>
      <c r="C27">
        <v>155941.28821079066</v>
      </c>
      <c r="D27">
        <v>8.5999999999999993E-2</v>
      </c>
      <c r="E27">
        <f t="shared" si="0"/>
        <v>13410.950786127996</v>
      </c>
      <c r="F27">
        <v>107859.68599930758</v>
      </c>
      <c r="G27">
        <v>8.3000000000000004E-2</v>
      </c>
      <c r="H27">
        <f t="shared" si="1"/>
        <v>8952.3539379425292</v>
      </c>
      <c r="I27">
        <f t="shared" si="2"/>
        <v>0.44577917843921555</v>
      </c>
      <c r="J27">
        <f t="shared" si="3"/>
        <v>0.49803625717798217</v>
      </c>
      <c r="K27">
        <f t="shared" si="4"/>
        <v>1.1172263785889052</v>
      </c>
    </row>
    <row r="28" spans="1:11" x14ac:dyDescent="0.45">
      <c r="A28" t="str">
        <f>VLOOKUP(B28,'List of economies'!$A$2:$D$219,4,FALSE)</f>
        <v>High income</v>
      </c>
      <c r="B28" t="s">
        <v>72</v>
      </c>
      <c r="C28">
        <v>71017.774425871685</v>
      </c>
      <c r="D28">
        <v>0.11199999999999999</v>
      </c>
      <c r="E28">
        <f t="shared" si="0"/>
        <v>7953.9907356976282</v>
      </c>
      <c r="F28">
        <v>35844.478646050586</v>
      </c>
      <c r="G28">
        <v>7.2000000000000008E-2</v>
      </c>
      <c r="H28">
        <f t="shared" si="1"/>
        <v>2580.8024625156427</v>
      </c>
      <c r="I28">
        <f t="shared" si="2"/>
        <v>0.98127513939156041</v>
      </c>
      <c r="J28">
        <f t="shared" si="3"/>
        <v>2.0819835501646486</v>
      </c>
      <c r="K28">
        <f t="shared" si="4"/>
        <v>2.1217123175622103</v>
      </c>
    </row>
    <row r="29" spans="1:11" x14ac:dyDescent="0.45">
      <c r="A29" t="str">
        <f>VLOOKUP(B29,'List of economies'!$A$2:$D$219,4,FALSE)</f>
        <v>High income</v>
      </c>
      <c r="B29" t="s">
        <v>97</v>
      </c>
      <c r="C29">
        <v>86173.629084173808</v>
      </c>
      <c r="D29">
        <v>7.6999999999999999E-2</v>
      </c>
      <c r="E29">
        <f t="shared" si="0"/>
        <v>6635.3694394813829</v>
      </c>
      <c r="F29">
        <v>50956.693094218521</v>
      </c>
      <c r="G29">
        <v>6.2E-2</v>
      </c>
      <c r="H29">
        <f t="shared" si="1"/>
        <v>3159.3149718415484</v>
      </c>
      <c r="I29">
        <f t="shared" si="2"/>
        <v>0.69111502045157147</v>
      </c>
      <c r="J29">
        <f t="shared" si="3"/>
        <v>1.1002557512059838</v>
      </c>
      <c r="K29">
        <f t="shared" si="4"/>
        <v>1.5920009240821906</v>
      </c>
    </row>
    <row r="30" spans="1:11" x14ac:dyDescent="0.45">
      <c r="A30" t="str">
        <f>VLOOKUP(B30,'List of economies'!$A$2:$D$219,4,FALSE)</f>
        <v>High income</v>
      </c>
      <c r="B30" t="s">
        <v>98</v>
      </c>
      <c r="C30">
        <v>55551.143658637026</v>
      </c>
      <c r="D30">
        <v>7.2999999999999995E-2</v>
      </c>
      <c r="E30">
        <f t="shared" si="0"/>
        <v>4055.2334870805025</v>
      </c>
      <c r="F30">
        <v>37513.296387244161</v>
      </c>
      <c r="G30">
        <v>5.7999999999999996E-2</v>
      </c>
      <c r="H30">
        <f t="shared" si="1"/>
        <v>2175.7711904601611</v>
      </c>
      <c r="I30">
        <f t="shared" si="2"/>
        <v>0.48083876941100723</v>
      </c>
      <c r="J30">
        <f t="shared" si="3"/>
        <v>0.86381431322419888</v>
      </c>
      <c r="K30">
        <f t="shared" si="4"/>
        <v>1.7964739288437765</v>
      </c>
    </row>
    <row r="31" spans="1:11" x14ac:dyDescent="0.45">
      <c r="A31" t="str">
        <f>VLOOKUP(B31,'List of economies'!$A$2:$D$219,4,FALSE)</f>
        <v>High income</v>
      </c>
      <c r="B31" t="s">
        <v>92</v>
      </c>
      <c r="C31">
        <v>102037.52680023712</v>
      </c>
      <c r="D31">
        <v>8.4000000000000005E-2</v>
      </c>
      <c r="E31">
        <f t="shared" si="0"/>
        <v>8571.152251219919</v>
      </c>
      <c r="F31">
        <v>60737.886813277903</v>
      </c>
      <c r="G31">
        <v>7.6999999999999999E-2</v>
      </c>
      <c r="H31">
        <f t="shared" si="1"/>
        <v>4676.8172846223988</v>
      </c>
      <c r="I31">
        <f t="shared" si="2"/>
        <v>0.679965045769928</v>
      </c>
      <c r="J31">
        <f t="shared" si="3"/>
        <v>0.83268914083992152</v>
      </c>
      <c r="K31">
        <f t="shared" si="4"/>
        <v>1.2246058029307421</v>
      </c>
    </row>
    <row r="32" spans="1:11" x14ac:dyDescent="0.45">
      <c r="A32" t="str">
        <f>VLOOKUP(B32,'List of economies'!$A$2:$D$219,4,FALSE)</f>
        <v>High income</v>
      </c>
      <c r="B32" t="s">
        <v>111</v>
      </c>
      <c r="C32">
        <v>41740.16585300117</v>
      </c>
      <c r="D32">
        <v>3.1E-2</v>
      </c>
      <c r="E32">
        <f t="shared" si="0"/>
        <v>1293.9451414430362</v>
      </c>
      <c r="F32">
        <v>36058.166608478794</v>
      </c>
      <c r="G32">
        <v>3.2000000000000001E-2</v>
      </c>
      <c r="H32">
        <f t="shared" si="1"/>
        <v>1153.8613314713214</v>
      </c>
      <c r="I32">
        <f t="shared" si="2"/>
        <v>0.15757870626695425</v>
      </c>
      <c r="J32">
        <f t="shared" si="3"/>
        <v>0.12140437169611173</v>
      </c>
      <c r="K32">
        <f t="shared" si="4"/>
        <v>0.77043640331987795</v>
      </c>
    </row>
    <row r="33" spans="1:11" x14ac:dyDescent="0.45">
      <c r="A33" t="str">
        <f>VLOOKUP(B33,'List of economies'!$A$2:$D$219,4,FALSE)</f>
        <v>High income</v>
      </c>
      <c r="B33" t="s">
        <v>73</v>
      </c>
      <c r="C33">
        <v>41369.422541498956</v>
      </c>
      <c r="D33">
        <v>0.11199999999999999</v>
      </c>
      <c r="E33">
        <f t="shared" si="0"/>
        <v>4633.3753246478827</v>
      </c>
      <c r="F33">
        <v>27245.278840263127</v>
      </c>
      <c r="G33">
        <v>0.10800000000000001</v>
      </c>
      <c r="H33">
        <f t="shared" si="1"/>
        <v>2942.4901147484179</v>
      </c>
      <c r="I33">
        <f t="shared" si="2"/>
        <v>0.51840701591070304</v>
      </c>
      <c r="J33">
        <f t="shared" si="3"/>
        <v>0.57464431279628436</v>
      </c>
      <c r="K33">
        <f t="shared" si="4"/>
        <v>1.1084809718224731</v>
      </c>
    </row>
    <row r="34" spans="1:11" x14ac:dyDescent="0.45">
      <c r="A34" t="str">
        <f>VLOOKUP(B34,'List of economies'!$A$2:$D$219,4,FALSE)</f>
        <v>High income</v>
      </c>
      <c r="B34" t="s">
        <v>74</v>
      </c>
      <c r="C34">
        <v>51262.510575688393</v>
      </c>
      <c r="D34">
        <v>0.11</v>
      </c>
      <c r="E34">
        <f t="shared" si="0"/>
        <v>5638.8761633257236</v>
      </c>
      <c r="F34">
        <v>26988.1069013509</v>
      </c>
      <c r="G34">
        <v>0.106</v>
      </c>
      <c r="H34">
        <f t="shared" si="1"/>
        <v>2860.7393315431955</v>
      </c>
      <c r="I34">
        <f t="shared" si="2"/>
        <v>0.8994481814922124</v>
      </c>
      <c r="J34">
        <f t="shared" si="3"/>
        <v>0.97112547135984317</v>
      </c>
      <c r="K34">
        <f t="shared" si="4"/>
        <v>1.0796902938296189</v>
      </c>
    </row>
    <row r="35" spans="1:11" x14ac:dyDescent="0.45">
      <c r="A35" t="str">
        <f>VLOOKUP(B35,'List of economies'!$A$2:$D$219,4,FALSE)</f>
        <v>High income</v>
      </c>
      <c r="B35" t="s">
        <v>41</v>
      </c>
      <c r="C35">
        <v>51679.888380752695</v>
      </c>
      <c r="D35">
        <v>0.14699999999999999</v>
      </c>
      <c r="E35">
        <f t="shared" ref="E35:E66" si="5">C35*D35</f>
        <v>7596.9435919706457</v>
      </c>
      <c r="F35">
        <v>29608.007151395595</v>
      </c>
      <c r="G35">
        <v>8.3000000000000004E-2</v>
      </c>
      <c r="H35">
        <f t="shared" ref="H35:H66" si="6">F35*G35</f>
        <v>2457.4645935658345</v>
      </c>
      <c r="I35">
        <f t="shared" ref="I35:I66" si="7">C35/F35-1</f>
        <v>0.74547000466786639</v>
      </c>
      <c r="J35">
        <f t="shared" ref="J35:J66" si="8">E35/H35-1</f>
        <v>2.0913745865804381</v>
      </c>
      <c r="K35">
        <f t="shared" si="4"/>
        <v>2.8054443149757855</v>
      </c>
    </row>
    <row r="36" spans="1:11" x14ac:dyDescent="0.45">
      <c r="A36" t="str">
        <f>VLOOKUP(B36,'List of economies'!$A$2:$D$219,4,FALSE)</f>
        <v>High income</v>
      </c>
      <c r="B36" t="s">
        <v>107</v>
      </c>
      <c r="C36">
        <v>126046.35485561157</v>
      </c>
      <c r="D36">
        <v>5.2000000000000005E-2</v>
      </c>
      <c r="E36">
        <f t="shared" si="5"/>
        <v>6554.4104524918021</v>
      </c>
      <c r="F36">
        <v>102545.86329127896</v>
      </c>
      <c r="G36">
        <v>6.6000000000000003E-2</v>
      </c>
      <c r="H36">
        <f t="shared" si="6"/>
        <v>6768.0269772244119</v>
      </c>
      <c r="I36">
        <f t="shared" si="7"/>
        <v>0.22917054681747673</v>
      </c>
      <c r="J36">
        <f t="shared" si="8"/>
        <v>-3.1562599477139575E-2</v>
      </c>
      <c r="K36">
        <f t="shared" si="4"/>
        <v>-0.13772537490289999</v>
      </c>
    </row>
    <row r="37" spans="1:11" x14ac:dyDescent="0.45">
      <c r="A37" t="str">
        <f>VLOOKUP(B37,'List of economies'!$A$2:$D$219,4,FALSE)</f>
        <v>High income</v>
      </c>
      <c r="B37" t="s">
        <v>78</v>
      </c>
      <c r="C37">
        <v>49558.668912013651</v>
      </c>
      <c r="D37">
        <v>0.10300000000000001</v>
      </c>
      <c r="E37">
        <f t="shared" si="5"/>
        <v>5104.5428979374065</v>
      </c>
      <c r="F37">
        <v>20201.858456166166</v>
      </c>
      <c r="G37">
        <v>0.11800000000000001</v>
      </c>
      <c r="H37">
        <f t="shared" si="6"/>
        <v>2383.8192978276079</v>
      </c>
      <c r="I37">
        <f t="shared" si="7"/>
        <v>1.4531737522835169</v>
      </c>
      <c r="J37">
        <f t="shared" si="8"/>
        <v>1.1413296312305272</v>
      </c>
      <c r="K37">
        <f t="shared" si="4"/>
        <v>0.78540479377434536</v>
      </c>
    </row>
    <row r="38" spans="1:11" x14ac:dyDescent="0.45">
      <c r="A38" t="str">
        <f>VLOOKUP(B38,'List of economies'!$A$2:$D$219,4,FALSE)</f>
        <v>High income</v>
      </c>
      <c r="B38" t="s">
        <v>112</v>
      </c>
      <c r="C38">
        <v>71375.372789028523</v>
      </c>
      <c r="D38">
        <v>3.1E-2</v>
      </c>
      <c r="E38">
        <f t="shared" si="5"/>
        <v>2212.6365564598841</v>
      </c>
      <c r="F38">
        <v>53930.827387262187</v>
      </c>
      <c r="G38">
        <v>3.1E-2</v>
      </c>
      <c r="H38">
        <f t="shared" si="6"/>
        <v>1671.8556490051278</v>
      </c>
      <c r="I38">
        <f t="shared" si="7"/>
        <v>0.32346148291962851</v>
      </c>
      <c r="J38">
        <f t="shared" si="8"/>
        <v>0.32346148291962828</v>
      </c>
      <c r="K38">
        <f t="shared" si="4"/>
        <v>0.99999999999999933</v>
      </c>
    </row>
    <row r="39" spans="1:11" x14ac:dyDescent="0.45">
      <c r="A39" t="str">
        <f>VLOOKUP(B39,'List of economies'!$A$2:$D$219,4,FALSE)</f>
        <v>High income</v>
      </c>
      <c r="B39" t="s">
        <v>19</v>
      </c>
      <c r="C39">
        <v>150689.30162582558</v>
      </c>
      <c r="D39">
        <v>0.23199999999999998</v>
      </c>
      <c r="E39">
        <f t="shared" si="5"/>
        <v>34959.91797719153</v>
      </c>
      <c r="F39">
        <v>87156.187383315017</v>
      </c>
      <c r="G39">
        <v>0.214</v>
      </c>
      <c r="H39">
        <f t="shared" si="6"/>
        <v>18651.424100029413</v>
      </c>
      <c r="I39">
        <f t="shared" si="7"/>
        <v>0.72895701555978332</v>
      </c>
      <c r="J39">
        <f t="shared" si="8"/>
        <v>0.87438330658817609</v>
      </c>
      <c r="K39">
        <f t="shared" si="4"/>
        <v>1.1994991308461673</v>
      </c>
    </row>
    <row r="40" spans="1:11" x14ac:dyDescent="0.45">
      <c r="A40" t="str">
        <f>VLOOKUP(B40,'List of economies'!$A$2:$D$219,4,FALSE)</f>
        <v>High income</v>
      </c>
      <c r="B40" t="s">
        <v>55</v>
      </c>
      <c r="C40">
        <v>57186.371353817427</v>
      </c>
      <c r="D40">
        <v>0.13</v>
      </c>
      <c r="E40">
        <f t="shared" si="5"/>
        <v>7434.2282759962654</v>
      </c>
      <c r="F40">
        <v>31336.204385888104</v>
      </c>
      <c r="G40">
        <v>0.106</v>
      </c>
      <c r="H40">
        <f t="shared" si="6"/>
        <v>3321.637664904139</v>
      </c>
      <c r="I40">
        <f t="shared" si="7"/>
        <v>0.82492974099858252</v>
      </c>
      <c r="J40">
        <f t="shared" si="8"/>
        <v>1.23812138046996</v>
      </c>
      <c r="K40">
        <f t="shared" si="4"/>
        <v>1.5008810071160805</v>
      </c>
    </row>
    <row r="41" spans="1:11" x14ac:dyDescent="0.45">
      <c r="A41" t="str">
        <f>VLOOKUP(B41,'List of economies'!$A$2:$D$219,4,FALSE)</f>
        <v>High income</v>
      </c>
      <c r="B41" t="s">
        <v>90</v>
      </c>
      <c r="C41">
        <v>57965.294813883731</v>
      </c>
      <c r="D41">
        <v>8.5000000000000006E-2</v>
      </c>
      <c r="E41">
        <f t="shared" si="5"/>
        <v>4927.0500591801174</v>
      </c>
      <c r="F41">
        <v>35228.6333036223</v>
      </c>
      <c r="G41">
        <v>9.6000000000000002E-2</v>
      </c>
      <c r="H41">
        <f t="shared" si="6"/>
        <v>3381.9487971477411</v>
      </c>
      <c r="I41">
        <f t="shared" si="7"/>
        <v>0.64540288333932017</v>
      </c>
      <c r="J41">
        <f t="shared" si="8"/>
        <v>0.45686713629002296</v>
      </c>
      <c r="K41">
        <f t="shared" si="4"/>
        <v>0.7078789823903302</v>
      </c>
    </row>
    <row r="42" spans="1:11" x14ac:dyDescent="0.45">
      <c r="A42" t="str">
        <f>VLOOKUP(B42,'List of economies'!$A$2:$D$219,4,FALSE)</f>
        <v>High income</v>
      </c>
      <c r="B42" t="s">
        <v>96</v>
      </c>
      <c r="C42">
        <v>71844.912988057898</v>
      </c>
      <c r="D42">
        <v>7.6999999999999999E-2</v>
      </c>
      <c r="E42">
        <f t="shared" si="5"/>
        <v>5532.0583000804581</v>
      </c>
      <c r="F42">
        <v>48772.069605727731</v>
      </c>
      <c r="G42">
        <v>9.1999999999999998E-2</v>
      </c>
      <c r="H42">
        <f t="shared" si="6"/>
        <v>4487.0304037269516</v>
      </c>
      <c r="I42">
        <f t="shared" si="7"/>
        <v>0.4730749293366161</v>
      </c>
      <c r="J42">
        <f t="shared" si="8"/>
        <v>0.23289966911868953</v>
      </c>
      <c r="K42">
        <f t="shared" si="4"/>
        <v>0.49231031846325118</v>
      </c>
    </row>
    <row r="43" spans="1:11" x14ac:dyDescent="0.45">
      <c r="A43" t="str">
        <f>VLOOKUP(B43,'List of economies'!$A$2:$D$219,4,FALSE)</f>
        <v>High income</v>
      </c>
      <c r="B43" t="s">
        <v>75</v>
      </c>
      <c r="C43">
        <v>96497.694797132295</v>
      </c>
      <c r="D43">
        <v>0.11</v>
      </c>
      <c r="E43">
        <f t="shared" si="5"/>
        <v>10614.746427684553</v>
      </c>
      <c r="F43">
        <v>65265.045733559971</v>
      </c>
      <c r="G43">
        <v>7.2999999999999995E-2</v>
      </c>
      <c r="H43">
        <f t="shared" si="6"/>
        <v>4764.3483385498776</v>
      </c>
      <c r="I43">
        <f t="shared" si="7"/>
        <v>0.47855094120484409</v>
      </c>
      <c r="J43">
        <f t="shared" si="8"/>
        <v>1.2279534730483954</v>
      </c>
      <c r="K43">
        <f t="shared" si="4"/>
        <v>2.5659827769992183</v>
      </c>
    </row>
    <row r="44" spans="1:11" x14ac:dyDescent="0.45">
      <c r="A44" t="str">
        <f>VLOOKUP(B44,'List of economies'!$A$2:$D$219,4,FALSE)</f>
        <v>High income</v>
      </c>
      <c r="B44" t="s">
        <v>100</v>
      </c>
      <c r="C44">
        <v>79228.73880127602</v>
      </c>
      <c r="D44">
        <v>7.0000000000000007E-2</v>
      </c>
      <c r="E44">
        <f t="shared" si="5"/>
        <v>5546.0117160893224</v>
      </c>
      <c r="F44">
        <v>73986.063639594504</v>
      </c>
      <c r="G44">
        <v>6.2E-2</v>
      </c>
      <c r="H44">
        <f t="shared" si="6"/>
        <v>4587.1359456548589</v>
      </c>
      <c r="I44">
        <f t="shared" si="7"/>
        <v>7.0860306708841359E-2</v>
      </c>
      <c r="J44">
        <f t="shared" si="8"/>
        <v>0.2090358301551436</v>
      </c>
      <c r="K44">
        <f t="shared" si="4"/>
        <v>2.9499707221710607</v>
      </c>
    </row>
    <row r="45" spans="1:11" x14ac:dyDescent="0.45">
      <c r="A45" t="str">
        <f>VLOOKUP(B45,'List of economies'!$A$2:$D$219,4,FALSE)</f>
        <v>High income</v>
      </c>
      <c r="B45" t="s">
        <v>86</v>
      </c>
      <c r="C45">
        <v>62009.490776536586</v>
      </c>
      <c r="D45">
        <v>8.8000000000000009E-2</v>
      </c>
      <c r="E45">
        <f t="shared" si="5"/>
        <v>5456.8351883352198</v>
      </c>
      <c r="F45">
        <v>42515.278865824046</v>
      </c>
      <c r="G45">
        <v>8.5999999999999993E-2</v>
      </c>
      <c r="H45">
        <f t="shared" si="6"/>
        <v>3656.3139824608675</v>
      </c>
      <c r="I45">
        <f t="shared" si="7"/>
        <v>0.45852249898760467</v>
      </c>
      <c r="J45">
        <f t="shared" si="8"/>
        <v>0.49244162687103765</v>
      </c>
      <c r="K45">
        <f t="shared" si="4"/>
        <v>1.0739748386574808</v>
      </c>
    </row>
    <row r="46" spans="1:11" x14ac:dyDescent="0.45">
      <c r="A46" t="str">
        <f>VLOOKUP(B46,'List of economies'!$A$2:$D$219,4,FALSE)</f>
        <v>High income</v>
      </c>
      <c r="B46" t="s">
        <v>109</v>
      </c>
      <c r="C46">
        <v>85809.900384635912</v>
      </c>
      <c r="D46">
        <v>3.3000000000000002E-2</v>
      </c>
      <c r="E46">
        <f t="shared" si="5"/>
        <v>2831.7267126929851</v>
      </c>
      <c r="F46">
        <v>56849.46979231594</v>
      </c>
      <c r="G46">
        <v>2.6000000000000002E-2</v>
      </c>
      <c r="H46">
        <f t="shared" si="6"/>
        <v>1478.0862146002146</v>
      </c>
      <c r="I46">
        <f t="shared" si="7"/>
        <v>0.50942305527420073</v>
      </c>
      <c r="J46">
        <f t="shared" si="8"/>
        <v>0.91580618554033166</v>
      </c>
      <c r="K46">
        <f t="shared" si="4"/>
        <v>1.7977321129437147</v>
      </c>
    </row>
    <row r="47" spans="1:11" x14ac:dyDescent="0.45">
      <c r="A47" t="str">
        <f>VLOOKUP(B47,'List of economies'!$A$2:$D$219,4,FALSE)</f>
        <v>High income</v>
      </c>
      <c r="B47" t="s">
        <v>54</v>
      </c>
      <c r="C47">
        <v>36417.874162496009</v>
      </c>
      <c r="D47">
        <v>0.13</v>
      </c>
      <c r="E47">
        <f t="shared" si="5"/>
        <v>4734.3236411244816</v>
      </c>
      <c r="F47">
        <v>22168.611418967605</v>
      </c>
      <c r="G47">
        <v>0.11199999999999999</v>
      </c>
      <c r="H47">
        <f t="shared" si="6"/>
        <v>2482.8844789243713</v>
      </c>
      <c r="I47">
        <f t="shared" si="7"/>
        <v>0.64276749112651443</v>
      </c>
      <c r="J47">
        <f t="shared" si="8"/>
        <v>0.90678369505756184</v>
      </c>
      <c r="K47">
        <f t="shared" si="4"/>
        <v>1.4107491551390263</v>
      </c>
    </row>
    <row r="48" spans="1:11" x14ac:dyDescent="0.45">
      <c r="A48" t="str">
        <f>VLOOKUP(B48,'List of economies'!$A$2:$D$219,4,FALSE)</f>
        <v>Lower middle income</v>
      </c>
      <c r="B48" t="s">
        <v>61</v>
      </c>
      <c r="C48">
        <v>9646.7698438325478</v>
      </c>
      <c r="D48">
        <v>0.128</v>
      </c>
      <c r="E48">
        <f t="shared" si="5"/>
        <v>1234.7865400105661</v>
      </c>
      <c r="F48">
        <v>4212.2357808942761</v>
      </c>
      <c r="G48">
        <v>0.109</v>
      </c>
      <c r="H48">
        <f t="shared" si="6"/>
        <v>459.13370011747611</v>
      </c>
      <c r="I48">
        <f t="shared" si="7"/>
        <v>1.2901780302964183</v>
      </c>
      <c r="J48">
        <f t="shared" si="8"/>
        <v>1.6893833750269862</v>
      </c>
      <c r="K48">
        <f t="shared" si="4"/>
        <v>1.3094188052782534</v>
      </c>
    </row>
    <row r="49" spans="1:11" x14ac:dyDescent="0.45">
      <c r="A49" t="str">
        <f>VLOOKUP(B49,'List of economies'!$A$2:$D$219,4,FALSE)</f>
        <v>Lower middle income</v>
      </c>
      <c r="B49" t="s">
        <v>67</v>
      </c>
      <c r="C49">
        <v>12877.635118437232</v>
      </c>
      <c r="D49">
        <v>0.12</v>
      </c>
      <c r="E49">
        <f t="shared" si="5"/>
        <v>1545.3162142124679</v>
      </c>
      <c r="F49">
        <v>8757.3177711540648</v>
      </c>
      <c r="G49">
        <v>0.10300000000000001</v>
      </c>
      <c r="H49">
        <f t="shared" si="6"/>
        <v>902.00373042886872</v>
      </c>
      <c r="I49">
        <f t="shared" si="7"/>
        <v>0.47049992417257913</v>
      </c>
      <c r="J49">
        <f t="shared" si="8"/>
        <v>0.71320379515251942</v>
      </c>
      <c r="K49">
        <f t="shared" si="4"/>
        <v>1.5158425294260338</v>
      </c>
    </row>
    <row r="50" spans="1:11" x14ac:dyDescent="0.45">
      <c r="A50" t="str">
        <f>VLOOKUP(B50,'List of economies'!$A$2:$D$219,4,FALSE)</f>
        <v>Lower middle income</v>
      </c>
      <c r="B50" t="s">
        <v>76</v>
      </c>
      <c r="C50">
        <v>11159.985647609126</v>
      </c>
      <c r="D50">
        <v>0.109</v>
      </c>
      <c r="E50">
        <f t="shared" si="5"/>
        <v>1216.4384355893947</v>
      </c>
      <c r="F50">
        <v>5425.0359909104618</v>
      </c>
      <c r="G50">
        <v>0.10099999999999999</v>
      </c>
      <c r="H50">
        <f t="shared" si="6"/>
        <v>547.9286350819566</v>
      </c>
      <c r="I50">
        <f t="shared" si="7"/>
        <v>1.0571265640094292</v>
      </c>
      <c r="J50">
        <f t="shared" si="8"/>
        <v>1.2200672819507701</v>
      </c>
      <c r="K50">
        <f t="shared" si="4"/>
        <v>1.15413548716754</v>
      </c>
    </row>
    <row r="51" spans="1:11" x14ac:dyDescent="0.45">
      <c r="A51" t="str">
        <f>VLOOKUP(B51,'List of economies'!$A$2:$D$219,4,FALSE)</f>
        <v>Lower middle income</v>
      </c>
      <c r="B51" t="s">
        <v>101</v>
      </c>
      <c r="C51">
        <v>10821.490976531695</v>
      </c>
      <c r="D51">
        <v>7.0000000000000007E-2</v>
      </c>
      <c r="E51">
        <f t="shared" si="5"/>
        <v>757.50436835721871</v>
      </c>
      <c r="F51">
        <v>8967.0799583780827</v>
      </c>
      <c r="G51">
        <v>8.5999999999999993E-2</v>
      </c>
      <c r="H51">
        <f t="shared" si="6"/>
        <v>771.16887642051506</v>
      </c>
      <c r="I51">
        <f t="shared" si="7"/>
        <v>0.20680210578706926</v>
      </c>
      <c r="J51">
        <f t="shared" si="8"/>
        <v>-1.7719216219827305E-2</v>
      </c>
      <c r="K51">
        <f t="shared" si="4"/>
        <v>-8.5681991256276832E-2</v>
      </c>
    </row>
    <row r="52" spans="1:11" x14ac:dyDescent="0.45">
      <c r="A52" t="str">
        <f>VLOOKUP(B52,'List of economies'!$A$2:$D$219,4,FALSE)</f>
        <v>Lower middle income</v>
      </c>
      <c r="B52" t="s">
        <v>51</v>
      </c>
      <c r="C52">
        <v>10415.1240234375</v>
      </c>
      <c r="D52">
        <v>0.13400000000000001</v>
      </c>
      <c r="E52">
        <f t="shared" si="5"/>
        <v>1395.6266191406251</v>
      </c>
      <c r="F52">
        <v>7799.09228515625</v>
      </c>
      <c r="G52">
        <v>0.161</v>
      </c>
      <c r="H52">
        <f t="shared" si="6"/>
        <v>1255.6538579101564</v>
      </c>
      <c r="I52">
        <f t="shared" si="7"/>
        <v>0.33542771935911753</v>
      </c>
      <c r="J52">
        <f t="shared" si="8"/>
        <v>0.11147400244796124</v>
      </c>
      <c r="K52">
        <f t="shared" si="4"/>
        <v>0.33233390091000292</v>
      </c>
    </row>
    <row r="53" spans="1:11" x14ac:dyDescent="0.45">
      <c r="A53" t="str">
        <f>VLOOKUP(B53,'List of economies'!$A$2:$D$219,4,FALSE)</f>
        <v>Lower middle income</v>
      </c>
      <c r="B53" t="s">
        <v>14</v>
      </c>
      <c r="C53">
        <v>5736.6213433270359</v>
      </c>
      <c r="D53">
        <v>0.32100000000000001</v>
      </c>
      <c r="E53">
        <f t="shared" si="5"/>
        <v>1841.4554512079785</v>
      </c>
      <c r="F53">
        <v>2957.3055914550432</v>
      </c>
      <c r="G53">
        <v>0.19699999999999998</v>
      </c>
      <c r="H53">
        <f t="shared" si="6"/>
        <v>582.58920151664347</v>
      </c>
      <c r="I53">
        <f t="shared" si="7"/>
        <v>0.93981351129306989</v>
      </c>
      <c r="J53">
        <f t="shared" si="8"/>
        <v>2.1608128788074894</v>
      </c>
      <c r="K53">
        <f t="shared" si="4"/>
        <v>2.2991932472161118</v>
      </c>
    </row>
    <row r="54" spans="1:11" x14ac:dyDescent="0.45">
      <c r="A54" t="str">
        <f>VLOOKUP(B54,'List of economies'!$A$2:$D$219,4,FALSE)</f>
        <v>Lower middle income</v>
      </c>
      <c r="B54" t="s">
        <v>43</v>
      </c>
      <c r="C54">
        <v>6252.1154319955858</v>
      </c>
      <c r="D54">
        <v>0.14300000000000002</v>
      </c>
      <c r="E54">
        <f t="shared" si="5"/>
        <v>894.0525067753689</v>
      </c>
      <c r="F54">
        <v>4480.2631346098487</v>
      </c>
      <c r="G54">
        <v>0.14300000000000002</v>
      </c>
      <c r="H54">
        <f t="shared" si="6"/>
        <v>640.6776282492084</v>
      </c>
      <c r="I54">
        <f t="shared" si="7"/>
        <v>0.39547951630301603</v>
      </c>
      <c r="J54">
        <f t="shared" si="8"/>
        <v>0.39547951630301603</v>
      </c>
      <c r="K54">
        <f t="shared" si="4"/>
        <v>1</v>
      </c>
    </row>
    <row r="55" spans="1:11" x14ac:dyDescent="0.45">
      <c r="A55" t="str">
        <f>VLOOKUP(B55,'List of economies'!$A$2:$D$219,4,FALSE)</f>
        <v>Lower middle income</v>
      </c>
      <c r="B55" t="s">
        <v>20</v>
      </c>
      <c r="C55">
        <v>11794.137548849178</v>
      </c>
      <c r="D55">
        <v>0.222</v>
      </c>
      <c r="E55">
        <f t="shared" si="5"/>
        <v>2618.2985358445176</v>
      </c>
      <c r="F55">
        <v>6894.2670221793451</v>
      </c>
      <c r="G55">
        <v>0.185</v>
      </c>
      <c r="H55">
        <f t="shared" si="6"/>
        <v>1275.4393991031789</v>
      </c>
      <c r="I55">
        <f t="shared" si="7"/>
        <v>0.71071667385475523</v>
      </c>
      <c r="J55">
        <f t="shared" si="8"/>
        <v>1.0528600086257063</v>
      </c>
      <c r="K55">
        <f t="shared" si="4"/>
        <v>1.4814060895957997</v>
      </c>
    </row>
    <row r="56" spans="1:11" x14ac:dyDescent="0.45">
      <c r="A56" t="str">
        <f>VLOOKUP(B56,'List of economies'!$A$2:$D$219,4,FALSE)</f>
        <v>Lower middle income</v>
      </c>
      <c r="B56" t="s">
        <v>13</v>
      </c>
      <c r="C56">
        <v>15632.592484984809</v>
      </c>
      <c r="D56">
        <v>0.34200000000000003</v>
      </c>
      <c r="E56">
        <f t="shared" si="5"/>
        <v>5346.3466298648054</v>
      </c>
      <c r="F56">
        <v>12227.171484951274</v>
      </c>
      <c r="G56">
        <v>0.14300000000000002</v>
      </c>
      <c r="H56">
        <f t="shared" si="6"/>
        <v>1748.4855223480324</v>
      </c>
      <c r="I56">
        <f t="shared" si="7"/>
        <v>0.27851257375630945</v>
      </c>
      <c r="J56">
        <f t="shared" si="8"/>
        <v>2.0577014001724323</v>
      </c>
      <c r="K56">
        <f t="shared" si="4"/>
        <v>7.388181339248483</v>
      </c>
    </row>
    <row r="57" spans="1:11" x14ac:dyDescent="0.45">
      <c r="A57" t="str">
        <f>VLOOKUP(B57,'List of economies'!$A$2:$D$219,4,FALSE)</f>
        <v>Lower middle income</v>
      </c>
      <c r="B57" t="s">
        <v>65</v>
      </c>
      <c r="C57">
        <v>14521.008093763836</v>
      </c>
      <c r="D57">
        <v>0.122</v>
      </c>
      <c r="E57">
        <f t="shared" si="5"/>
        <v>1771.562987439188</v>
      </c>
      <c r="F57">
        <v>10782.543838244115</v>
      </c>
      <c r="G57">
        <v>0.10800000000000001</v>
      </c>
      <c r="H57">
        <f t="shared" si="6"/>
        <v>1164.5147345303646</v>
      </c>
      <c r="I57">
        <f t="shared" si="7"/>
        <v>0.34671449628240159</v>
      </c>
      <c r="J57">
        <f t="shared" si="8"/>
        <v>0.52128859765234226</v>
      </c>
      <c r="K57">
        <f t="shared" si="4"/>
        <v>1.5035096693152072</v>
      </c>
    </row>
    <row r="58" spans="1:11" x14ac:dyDescent="0.45">
      <c r="A58" t="str">
        <f>VLOOKUP(B58,'List of economies'!$A$2:$D$219,4,FALSE)</f>
        <v>Lower middle income</v>
      </c>
      <c r="B58" t="s">
        <v>50</v>
      </c>
      <c r="C58">
        <v>11878.552870684822</v>
      </c>
      <c r="D58">
        <v>0.13500000000000001</v>
      </c>
      <c r="E58">
        <f t="shared" si="5"/>
        <v>1603.604637542451</v>
      </c>
      <c r="F58">
        <v>6799.5733284218295</v>
      </c>
      <c r="G58">
        <v>0.14699999999999999</v>
      </c>
      <c r="H58">
        <f t="shared" si="6"/>
        <v>999.5372792780089</v>
      </c>
      <c r="I58">
        <f t="shared" si="7"/>
        <v>0.74695562455855091</v>
      </c>
      <c r="J58">
        <f t="shared" si="8"/>
        <v>0.6043470021456081</v>
      </c>
      <c r="K58">
        <f t="shared" si="4"/>
        <v>0.8090801946939965</v>
      </c>
    </row>
    <row r="59" spans="1:11" x14ac:dyDescent="0.45">
      <c r="A59" t="str">
        <f>VLOOKUP(B59,'List of economies'!$A$2:$D$219,4,FALSE)</f>
        <v>Upper middle income</v>
      </c>
      <c r="B59" t="s">
        <v>36</v>
      </c>
      <c r="C59">
        <v>27146.381474728154</v>
      </c>
      <c r="D59">
        <v>0.153</v>
      </c>
      <c r="E59">
        <f t="shared" si="5"/>
        <v>4153.3963656334072</v>
      </c>
      <c r="F59">
        <v>11571.706559893075</v>
      </c>
      <c r="G59">
        <v>0.14599999999999999</v>
      </c>
      <c r="H59">
        <f t="shared" si="6"/>
        <v>1689.4691577443889</v>
      </c>
      <c r="I59">
        <f t="shared" si="7"/>
        <v>1.3459272263968463</v>
      </c>
      <c r="J59">
        <f t="shared" si="8"/>
        <v>1.4584031893062841</v>
      </c>
      <c r="K59">
        <f t="shared" si="4"/>
        <v>1.0835676407338493</v>
      </c>
    </row>
    <row r="60" spans="1:11" x14ac:dyDescent="0.45">
      <c r="A60" t="str">
        <f>VLOOKUP(B60,'List of economies'!$A$2:$D$219,4,FALSE)</f>
        <v>Upper middle income</v>
      </c>
      <c r="B60" t="s">
        <v>31</v>
      </c>
      <c r="C60">
        <v>17620.742395612582</v>
      </c>
      <c r="D60">
        <v>0.16699999999999998</v>
      </c>
      <c r="E60">
        <f t="shared" si="5"/>
        <v>2942.6639800673011</v>
      </c>
      <c r="F60">
        <v>13807.351584147766</v>
      </c>
      <c r="G60">
        <v>0.20899999999999999</v>
      </c>
      <c r="H60">
        <f t="shared" si="6"/>
        <v>2885.736481086883</v>
      </c>
      <c r="I60">
        <f t="shared" si="7"/>
        <v>0.2761855369745907</v>
      </c>
      <c r="J60">
        <f t="shared" si="8"/>
        <v>1.9727199400749518E-2</v>
      </c>
      <c r="K60">
        <f t="shared" si="4"/>
        <v>7.1427344157288145E-2</v>
      </c>
    </row>
    <row r="61" spans="1:11" x14ac:dyDescent="0.45">
      <c r="A61" t="str">
        <f>VLOOKUP(B61,'List of economies'!$A$2:$D$219,4,FALSE)</f>
        <v>Upper middle income</v>
      </c>
      <c r="B61" t="s">
        <v>29</v>
      </c>
      <c r="C61">
        <v>30431.193122369299</v>
      </c>
      <c r="D61">
        <v>0.17699999999999999</v>
      </c>
      <c r="E61">
        <f t="shared" si="5"/>
        <v>5386.3211826593661</v>
      </c>
      <c r="F61">
        <v>19899.149927524544</v>
      </c>
      <c r="G61">
        <v>0.11599999999999999</v>
      </c>
      <c r="H61">
        <f t="shared" si="6"/>
        <v>2308.3013915928468</v>
      </c>
      <c r="I61">
        <f t="shared" si="7"/>
        <v>0.52927101073181082</v>
      </c>
      <c r="J61">
        <f t="shared" si="8"/>
        <v>1.3334566284442291</v>
      </c>
      <c r="K61">
        <f t="shared" si="4"/>
        <v>2.5194212443271535</v>
      </c>
    </row>
    <row r="62" spans="1:11" x14ac:dyDescent="0.45">
      <c r="A62" t="str">
        <f>VLOOKUP(B62,'List of economies'!$A$2:$D$219,4,FALSE)</f>
        <v>Upper middle income</v>
      </c>
      <c r="B62" t="s">
        <v>24</v>
      </c>
      <c r="C62">
        <v>22823.17952556931</v>
      </c>
      <c r="D62">
        <v>0.19399999999999998</v>
      </c>
      <c r="E62">
        <f t="shared" si="5"/>
        <v>4427.6968279604462</v>
      </c>
      <c r="F62">
        <v>9756.8408483602598</v>
      </c>
      <c r="G62">
        <v>0.13400000000000001</v>
      </c>
      <c r="H62">
        <f t="shared" si="6"/>
        <v>1307.4166736802749</v>
      </c>
      <c r="I62">
        <f t="shared" si="7"/>
        <v>1.3391976850175831</v>
      </c>
      <c r="J62">
        <f t="shared" si="8"/>
        <v>2.3865996335329185</v>
      </c>
      <c r="K62">
        <f t="shared" si="4"/>
        <v>1.7821115285915263</v>
      </c>
    </row>
    <row r="63" spans="1:11" x14ac:dyDescent="0.45">
      <c r="A63" t="str">
        <f>VLOOKUP(B63,'List of economies'!$A$2:$D$219,4,FALSE)</f>
        <v>Upper middle income</v>
      </c>
      <c r="B63" t="s">
        <v>35</v>
      </c>
      <c r="C63">
        <v>25088.999375713367</v>
      </c>
      <c r="D63">
        <v>0.156</v>
      </c>
      <c r="E63">
        <f t="shared" si="5"/>
        <v>3913.8839026112851</v>
      </c>
      <c r="F63">
        <v>15075.272634791074</v>
      </c>
      <c r="G63">
        <v>0.16200000000000001</v>
      </c>
      <c r="H63">
        <f t="shared" si="6"/>
        <v>2442.1941668361542</v>
      </c>
      <c r="I63">
        <f t="shared" si="7"/>
        <v>0.664248467242468</v>
      </c>
      <c r="J63">
        <f t="shared" si="8"/>
        <v>0.60260963512237642</v>
      </c>
      <c r="K63">
        <f t="shared" si="4"/>
        <v>0.90720515716660011</v>
      </c>
    </row>
    <row r="64" spans="1:11" x14ac:dyDescent="0.45">
      <c r="A64" t="str">
        <f>VLOOKUP(B64,'List of economies'!$A$2:$D$219,4,FALSE)</f>
        <v>Upper middle income</v>
      </c>
      <c r="B64" t="s">
        <v>59</v>
      </c>
      <c r="C64">
        <v>33010.330760535726</v>
      </c>
      <c r="D64">
        <v>0.128</v>
      </c>
      <c r="E64">
        <f t="shared" si="5"/>
        <v>4225.3223373485725</v>
      </c>
      <c r="F64">
        <v>18133.531308588295</v>
      </c>
      <c r="G64">
        <v>0.16399999999999998</v>
      </c>
      <c r="H64">
        <f t="shared" si="6"/>
        <v>2973.8991346084799</v>
      </c>
      <c r="I64">
        <f t="shared" si="7"/>
        <v>0.82040277752748403</v>
      </c>
      <c r="J64">
        <f t="shared" si="8"/>
        <v>0.42080216782632918</v>
      </c>
      <c r="K64">
        <f t="shared" si="4"/>
        <v>0.51292143243899735</v>
      </c>
    </row>
    <row r="65" spans="1:11" x14ac:dyDescent="0.45">
      <c r="A65" t="str">
        <f>VLOOKUP(B65,'List of economies'!$A$2:$D$219,4,FALSE)</f>
        <v>Upper middle income</v>
      </c>
      <c r="B65" t="s">
        <v>53</v>
      </c>
      <c r="C65">
        <v>23345.496800010747</v>
      </c>
      <c r="D65">
        <v>0.13200000000000001</v>
      </c>
      <c r="E65">
        <f t="shared" si="5"/>
        <v>3081.6055776014186</v>
      </c>
      <c r="F65">
        <v>11066.154068834705</v>
      </c>
      <c r="G65">
        <v>0.125</v>
      </c>
      <c r="H65">
        <f t="shared" si="6"/>
        <v>1383.2692586043381</v>
      </c>
      <c r="I65">
        <f t="shared" si="7"/>
        <v>1.1096305595236564</v>
      </c>
      <c r="J65">
        <f t="shared" si="8"/>
        <v>1.2277698708569815</v>
      </c>
      <c r="K65">
        <f t="shared" si="4"/>
        <v>1.1064672474269635</v>
      </c>
    </row>
    <row r="66" spans="1:11" x14ac:dyDescent="0.45">
      <c r="A66" t="str">
        <f>VLOOKUP(B66,'List of economies'!$A$2:$D$219,4,FALSE)</f>
        <v>Upper middle income</v>
      </c>
      <c r="B66" t="s">
        <v>37</v>
      </c>
      <c r="C66">
        <v>22338.476564063538</v>
      </c>
      <c r="D66">
        <v>0.152</v>
      </c>
      <c r="E66">
        <f t="shared" si="5"/>
        <v>3395.4484377376575</v>
      </c>
      <c r="F66">
        <v>14821.438317518334</v>
      </c>
      <c r="G66">
        <v>0.16699999999999998</v>
      </c>
      <c r="H66">
        <f t="shared" si="6"/>
        <v>2475.1801990255617</v>
      </c>
      <c r="I66">
        <f t="shared" si="7"/>
        <v>0.50717333132644571</v>
      </c>
      <c r="J66">
        <f t="shared" si="8"/>
        <v>0.37179848120730385</v>
      </c>
      <c r="K66">
        <f t="shared" si="4"/>
        <v>0.73307971504517677</v>
      </c>
    </row>
    <row r="67" spans="1:11" x14ac:dyDescent="0.45">
      <c r="A67" t="str">
        <f>VLOOKUP(B67,'List of economies'!$A$2:$D$219,4,FALSE)</f>
        <v>Upper middle income</v>
      </c>
      <c r="B67" t="s">
        <v>16</v>
      </c>
      <c r="C67">
        <v>27104.870267746301</v>
      </c>
      <c r="D67">
        <v>0.28499999999999998</v>
      </c>
      <c r="E67">
        <f t="shared" ref="E67:E87" si="9">C67*D67</f>
        <v>7724.8880263076953</v>
      </c>
      <c r="F67">
        <v>13463.333151110473</v>
      </c>
      <c r="G67">
        <v>0.26400000000000001</v>
      </c>
      <c r="H67">
        <f t="shared" ref="H67:H88" si="10">F67*G67</f>
        <v>3554.3199518931651</v>
      </c>
      <c r="I67">
        <f t="shared" ref="I67:I86" si="11">C67/F67-1</f>
        <v>1.0132362442142089</v>
      </c>
      <c r="J67">
        <f t="shared" ref="J67:J86" si="12">E67/H67-1</f>
        <v>1.1733800363676119</v>
      </c>
      <c r="K67">
        <f t="shared" si="4"/>
        <v>1.1580517801922874</v>
      </c>
    </row>
    <row r="68" spans="1:11" x14ac:dyDescent="0.45">
      <c r="A68" t="str">
        <f>VLOOKUP(B68,'List of economies'!$A$2:$D$219,4,FALSE)</f>
        <v>Upper middle income</v>
      </c>
      <c r="B68" t="s">
        <v>28</v>
      </c>
      <c r="C68">
        <v>22349.436440122994</v>
      </c>
      <c r="D68">
        <v>0.18100000000000002</v>
      </c>
      <c r="E68">
        <f t="shared" si="9"/>
        <v>4045.2479956622624</v>
      </c>
      <c r="F68">
        <v>13332.055504821143</v>
      </c>
      <c r="G68">
        <v>0.14400000000000002</v>
      </c>
      <c r="H68">
        <f t="shared" si="10"/>
        <v>1919.8159926942449</v>
      </c>
      <c r="I68">
        <f t="shared" si="11"/>
        <v>0.67636839135878057</v>
      </c>
      <c r="J68">
        <f t="shared" si="12"/>
        <v>1.1071019363606895</v>
      </c>
      <c r="K68">
        <f t="shared" ref="K68:K86" si="13">J68/I68</f>
        <v>1.6368327534298179</v>
      </c>
    </row>
    <row r="69" spans="1:11" x14ac:dyDescent="0.45">
      <c r="A69" t="str">
        <f>VLOOKUP(B69,'List of economies'!$A$2:$D$219,4,FALSE)</f>
        <v>Upper middle income</v>
      </c>
      <c r="B69" t="s">
        <v>32</v>
      </c>
      <c r="C69">
        <v>27541.662528338416</v>
      </c>
      <c r="D69">
        <v>0.16500000000000001</v>
      </c>
      <c r="E69">
        <f t="shared" si="9"/>
        <v>4544.3743171758388</v>
      </c>
      <c r="F69">
        <v>14804.097406965937</v>
      </c>
      <c r="G69">
        <v>0.115</v>
      </c>
      <c r="H69">
        <f t="shared" si="10"/>
        <v>1702.4712018010828</v>
      </c>
      <c r="I69">
        <f t="shared" si="11"/>
        <v>0.86040808643821354</v>
      </c>
      <c r="J69">
        <f t="shared" si="12"/>
        <v>1.6692811674983061</v>
      </c>
      <c r="K69">
        <f t="shared" si="13"/>
        <v>1.940103996940036</v>
      </c>
    </row>
    <row r="70" spans="1:11" x14ac:dyDescent="0.45">
      <c r="A70" t="str">
        <f>VLOOKUP(B70,'List of economies'!$A$2:$D$219,4,FALSE)</f>
        <v>Upper middle income</v>
      </c>
      <c r="B70" t="s">
        <v>68</v>
      </c>
      <c r="C70">
        <v>15840.266856741184</v>
      </c>
      <c r="D70">
        <v>0.11900000000000001</v>
      </c>
      <c r="E70">
        <f t="shared" si="9"/>
        <v>1884.9917559522009</v>
      </c>
      <c r="F70">
        <v>10877.750746138814</v>
      </c>
      <c r="G70">
        <v>0.14699999999999999</v>
      </c>
      <c r="H70">
        <f t="shared" si="10"/>
        <v>1599.0293596824056</v>
      </c>
      <c r="I70">
        <f t="shared" si="11"/>
        <v>0.45620792629063267</v>
      </c>
      <c r="J70">
        <f t="shared" si="12"/>
        <v>0.17883498794955988</v>
      </c>
      <c r="K70">
        <f t="shared" si="13"/>
        <v>0.39200324598400538</v>
      </c>
    </row>
    <row r="71" spans="1:11" x14ac:dyDescent="0.45">
      <c r="A71" t="str">
        <f>VLOOKUP(B71,'List of economies'!$A$2:$D$219,4,FALSE)</f>
        <v>Upper middle income</v>
      </c>
      <c r="B71" t="s">
        <v>30</v>
      </c>
      <c r="C71">
        <v>13264.027090968028</v>
      </c>
      <c r="D71">
        <v>0.17499999999999999</v>
      </c>
      <c r="E71">
        <f t="shared" si="9"/>
        <v>2321.2047409194047</v>
      </c>
      <c r="F71">
        <v>7933.7369785899909</v>
      </c>
      <c r="G71">
        <v>0.254</v>
      </c>
      <c r="H71">
        <f t="shared" si="10"/>
        <v>2015.1691925618577</v>
      </c>
      <c r="I71">
        <f t="shared" si="11"/>
        <v>0.67185112473004538</v>
      </c>
      <c r="J71">
        <f t="shared" si="12"/>
        <v>0.15186593239274759</v>
      </c>
      <c r="K71">
        <f t="shared" si="13"/>
        <v>0.22604104808750364</v>
      </c>
    </row>
    <row r="72" spans="1:11" x14ac:dyDescent="0.45">
      <c r="A72" t="str">
        <f>VLOOKUP(B72,'List of economies'!$A$2:$D$219,4,FALSE)</f>
        <v>Upper middle income</v>
      </c>
      <c r="B72" t="s">
        <v>62</v>
      </c>
      <c r="C72">
        <v>28285.073280298224</v>
      </c>
      <c r="D72">
        <v>0.127</v>
      </c>
      <c r="E72">
        <f t="shared" si="9"/>
        <v>3592.2043065978746</v>
      </c>
      <c r="F72">
        <v>12269.652893276785</v>
      </c>
      <c r="G72">
        <v>0.152</v>
      </c>
      <c r="H72">
        <f t="shared" si="10"/>
        <v>1864.9872397780714</v>
      </c>
      <c r="I72">
        <f t="shared" si="11"/>
        <v>1.3052871606333025</v>
      </c>
      <c r="J72">
        <f t="shared" si="12"/>
        <v>0.9261280881607199</v>
      </c>
      <c r="K72">
        <f t="shared" si="13"/>
        <v>0.7095205684175877</v>
      </c>
    </row>
    <row r="73" spans="1:11" x14ac:dyDescent="0.45">
      <c r="A73" t="str">
        <f>VLOOKUP(B73,'List of economies'!$A$2:$D$219,4,FALSE)</f>
        <v>Upper middle income</v>
      </c>
      <c r="B73" t="s">
        <v>40</v>
      </c>
      <c r="C73">
        <v>16448.275517955855</v>
      </c>
      <c r="D73">
        <v>0.14899999999999999</v>
      </c>
      <c r="E73">
        <f t="shared" si="9"/>
        <v>2450.7930521754224</v>
      </c>
      <c r="F73">
        <v>10027.537299602549</v>
      </c>
      <c r="G73">
        <v>0.18899999999999997</v>
      </c>
      <c r="H73">
        <f t="shared" si="10"/>
        <v>1895.2045496248816</v>
      </c>
      <c r="I73">
        <f t="shared" si="11"/>
        <v>0.64031057940894409</v>
      </c>
      <c r="J73">
        <f t="shared" si="12"/>
        <v>0.29315490122715704</v>
      </c>
      <c r="K73">
        <f t="shared" si="13"/>
        <v>0.45783235613217815</v>
      </c>
    </row>
    <row r="74" spans="1:11" x14ac:dyDescent="0.45">
      <c r="A74" t="str">
        <f>VLOOKUP(B74,'List of economies'!$A$2:$D$219,4,FALSE)</f>
        <v>Upper middle income</v>
      </c>
      <c r="B74" t="s">
        <v>91</v>
      </c>
      <c r="C74">
        <v>14464.31869281728</v>
      </c>
      <c r="D74">
        <v>8.4000000000000005E-2</v>
      </c>
      <c r="E74">
        <f t="shared" si="9"/>
        <v>1215.0027701966517</v>
      </c>
      <c r="F74">
        <v>9334.4660486631528</v>
      </c>
      <c r="G74">
        <v>8.900000000000001E-2</v>
      </c>
      <c r="H74">
        <f t="shared" si="10"/>
        <v>830.7674783310207</v>
      </c>
      <c r="I74">
        <f t="shared" si="11"/>
        <v>0.54956037307445182</v>
      </c>
      <c r="J74">
        <f t="shared" si="12"/>
        <v>0.4625064195309434</v>
      </c>
      <c r="K74">
        <f t="shared" si="13"/>
        <v>0.8415934666895738</v>
      </c>
    </row>
    <row r="75" spans="1:11" x14ac:dyDescent="0.45">
      <c r="A75" t="str">
        <f>VLOOKUP(B75,'List of economies'!$A$2:$D$219,4,FALSE)</f>
        <v>Upper middle income</v>
      </c>
      <c r="B75" t="s">
        <v>82</v>
      </c>
      <c r="C75">
        <v>40890.931769440824</v>
      </c>
      <c r="D75">
        <v>9.9000000000000005E-2</v>
      </c>
      <c r="E75">
        <f t="shared" si="9"/>
        <v>4048.2022451746416</v>
      </c>
      <c r="F75">
        <v>22484.365138260669</v>
      </c>
      <c r="G75">
        <v>0.127</v>
      </c>
      <c r="H75">
        <f t="shared" si="10"/>
        <v>2855.5143725591051</v>
      </c>
      <c r="I75">
        <f t="shared" si="11"/>
        <v>0.81863848580979037</v>
      </c>
      <c r="J75">
        <f t="shared" si="12"/>
        <v>0.41767881964700204</v>
      </c>
      <c r="K75">
        <f t="shared" si="13"/>
        <v>0.51021156088677855</v>
      </c>
    </row>
    <row r="76" spans="1:11" x14ac:dyDescent="0.45">
      <c r="A76" t="str">
        <f>VLOOKUP(B76,'List of economies'!$A$2:$D$219,4,FALSE)</f>
        <v>Upper middle income</v>
      </c>
      <c r="B76" t="s">
        <v>87</v>
      </c>
      <c r="C76">
        <v>38779.283044225274</v>
      </c>
      <c r="D76">
        <v>8.6999999999999994E-2</v>
      </c>
      <c r="E76">
        <f t="shared" si="9"/>
        <v>3373.7976248475989</v>
      </c>
      <c r="F76">
        <v>24526.394271601155</v>
      </c>
      <c r="G76">
        <v>8.4000000000000005E-2</v>
      </c>
      <c r="H76">
        <f t="shared" si="10"/>
        <v>2060.2171188144971</v>
      </c>
      <c r="I76">
        <f t="shared" si="11"/>
        <v>0.58112450671672455</v>
      </c>
      <c r="J76">
        <f t="shared" si="12"/>
        <v>0.63759323909946453</v>
      </c>
      <c r="K76">
        <f t="shared" si="13"/>
        <v>1.0971714868845934</v>
      </c>
    </row>
    <row r="77" spans="1:11" x14ac:dyDescent="0.45">
      <c r="A77" t="str">
        <f>VLOOKUP(B77,'List of economies'!$A$2:$D$219,4,FALSE)</f>
        <v>Upper middle income</v>
      </c>
      <c r="B77" t="s">
        <v>25</v>
      </c>
      <c r="C77">
        <v>31839.759753552396</v>
      </c>
      <c r="D77">
        <v>0.185</v>
      </c>
      <c r="E77">
        <f t="shared" si="9"/>
        <v>5890.3555544071933</v>
      </c>
      <c r="F77">
        <v>20269.523509561048</v>
      </c>
      <c r="G77">
        <v>0.221</v>
      </c>
      <c r="H77">
        <f t="shared" si="10"/>
        <v>4479.5646956129913</v>
      </c>
      <c r="I77">
        <f t="shared" si="11"/>
        <v>0.57081935046641408</v>
      </c>
      <c r="J77">
        <f t="shared" si="12"/>
        <v>0.31493927527731502</v>
      </c>
      <c r="K77">
        <f t="shared" si="13"/>
        <v>0.55173195341044323</v>
      </c>
    </row>
    <row r="78" spans="1:11" x14ac:dyDescent="0.45">
      <c r="A78" t="str">
        <f>VLOOKUP(B78,'List of economies'!$A$2:$D$219,4,FALSE)</f>
        <v>Upper middle income</v>
      </c>
      <c r="B78" t="s">
        <v>69</v>
      </c>
      <c r="C78">
        <v>26185.356471325278</v>
      </c>
      <c r="D78">
        <v>0.11800000000000001</v>
      </c>
      <c r="E78">
        <f t="shared" si="9"/>
        <v>3089.872063616383</v>
      </c>
      <c r="F78">
        <v>19071.444419646581</v>
      </c>
      <c r="G78">
        <v>6.3E-2</v>
      </c>
      <c r="H78">
        <f t="shared" si="10"/>
        <v>1201.5009984377346</v>
      </c>
      <c r="I78">
        <f t="shared" si="11"/>
        <v>0.37301380509754423</v>
      </c>
      <c r="J78">
        <f t="shared" si="12"/>
        <v>1.571676650817623</v>
      </c>
      <c r="K78">
        <f t="shared" si="13"/>
        <v>4.2134543798094146</v>
      </c>
    </row>
    <row r="79" spans="1:11" x14ac:dyDescent="0.45">
      <c r="A79" t="str">
        <f>VLOOKUP(B79,'List of economies'!$A$2:$D$219,4,FALSE)</f>
        <v>Upper middle income</v>
      </c>
      <c r="B79" t="s">
        <v>52</v>
      </c>
      <c r="C79">
        <v>18614.988069120322</v>
      </c>
      <c r="D79">
        <v>0.13300000000000001</v>
      </c>
      <c r="E79">
        <f t="shared" si="9"/>
        <v>2475.7934131930028</v>
      </c>
      <c r="F79">
        <v>9197.6183820427232</v>
      </c>
      <c r="G79">
        <v>0.17100000000000001</v>
      </c>
      <c r="H79">
        <f t="shared" si="10"/>
        <v>1572.7927433293057</v>
      </c>
      <c r="I79">
        <f t="shared" si="11"/>
        <v>1.0238921964259697</v>
      </c>
      <c r="J79">
        <f t="shared" si="12"/>
        <v>0.57413837499797649</v>
      </c>
      <c r="K79">
        <f t="shared" si="13"/>
        <v>0.56074103992791613</v>
      </c>
    </row>
    <row r="80" spans="1:11" x14ac:dyDescent="0.45">
      <c r="A80" t="str">
        <f>VLOOKUP(B80,'List of economies'!$A$2:$D$219,4,FALSE)</f>
        <v>Upper middle income</v>
      </c>
      <c r="B80" t="s">
        <v>58</v>
      </c>
      <c r="C80">
        <v>34806.948319581694</v>
      </c>
      <c r="D80">
        <v>0.129</v>
      </c>
      <c r="E80">
        <f t="shared" si="9"/>
        <v>4490.096333226039</v>
      </c>
      <c r="F80">
        <v>15033.061265649618</v>
      </c>
      <c r="G80">
        <v>0.161</v>
      </c>
      <c r="H80">
        <f t="shared" si="10"/>
        <v>2420.3228637695884</v>
      </c>
      <c r="I80">
        <f t="shared" si="11"/>
        <v>1.3153599725636185</v>
      </c>
      <c r="J80">
        <f t="shared" si="12"/>
        <v>0.85516420161929707</v>
      </c>
      <c r="K80">
        <f t="shared" si="13"/>
        <v>0.65013701150765124</v>
      </c>
    </row>
    <row r="81" spans="1:11" x14ac:dyDescent="0.45">
      <c r="A81" t="str">
        <f>VLOOKUP(B81,'List of economies'!$A$2:$D$219,4,FALSE)</f>
        <v>Upper middle income</v>
      </c>
      <c r="B81" t="s">
        <v>64</v>
      </c>
      <c r="C81">
        <v>26986.568596749126</v>
      </c>
      <c r="D81">
        <v>0.12300000000000001</v>
      </c>
      <c r="E81">
        <f t="shared" si="9"/>
        <v>3319.3479374001427</v>
      </c>
      <c r="F81">
        <v>14045.071137177483</v>
      </c>
      <c r="G81">
        <v>0.154</v>
      </c>
      <c r="H81">
        <f t="shared" si="10"/>
        <v>2162.9409551253325</v>
      </c>
      <c r="I81">
        <f t="shared" si="11"/>
        <v>0.92142626642276904</v>
      </c>
      <c r="J81">
        <f t="shared" si="12"/>
        <v>0.53464565435065325</v>
      </c>
      <c r="K81">
        <f t="shared" si="13"/>
        <v>0.5802370453647856</v>
      </c>
    </row>
    <row r="82" spans="1:11" x14ac:dyDescent="0.45">
      <c r="A82" t="str">
        <f>VLOOKUP(B82,'List of economies'!$A$2:$D$219,4,FALSE)</f>
        <v>Upper middle income</v>
      </c>
      <c r="B82" t="s">
        <v>26</v>
      </c>
      <c r="C82">
        <v>17802.418249897237</v>
      </c>
      <c r="D82">
        <v>0.184</v>
      </c>
      <c r="E82">
        <f t="shared" si="9"/>
        <v>3275.6449579810915</v>
      </c>
      <c r="F82">
        <v>11600.387399286728</v>
      </c>
      <c r="G82">
        <v>0.16300000000000001</v>
      </c>
      <c r="H82">
        <f t="shared" si="10"/>
        <v>1890.8631460837369</v>
      </c>
      <c r="I82">
        <f t="shared" si="11"/>
        <v>0.53463997685041553</v>
      </c>
      <c r="J82">
        <f t="shared" si="12"/>
        <v>0.73235432969617431</v>
      </c>
      <c r="K82">
        <f t="shared" si="13"/>
        <v>1.3698083970646968</v>
      </c>
    </row>
    <row r="83" spans="1:11" x14ac:dyDescent="0.45">
      <c r="A83" t="str">
        <f>VLOOKUP(B83,'List of economies'!$A$2:$D$219,4,FALSE)</f>
        <v>Upper middle income</v>
      </c>
      <c r="B83" t="s">
        <v>33</v>
      </c>
      <c r="C83">
        <v>32781.014241203149</v>
      </c>
      <c r="D83">
        <v>0.16</v>
      </c>
      <c r="E83">
        <f t="shared" si="9"/>
        <v>5244.9622785925039</v>
      </c>
      <c r="F83">
        <v>14523.53903407022</v>
      </c>
      <c r="G83">
        <v>0.17100000000000001</v>
      </c>
      <c r="H83">
        <f t="shared" si="10"/>
        <v>2483.525174826008</v>
      </c>
      <c r="I83">
        <f t="shared" si="11"/>
        <v>1.2570954754418611</v>
      </c>
      <c r="J83">
        <f t="shared" si="12"/>
        <v>1.111902199243846</v>
      </c>
      <c r="K83">
        <f t="shared" si="13"/>
        <v>0.88450099532258641</v>
      </c>
    </row>
    <row r="84" spans="1:11" x14ac:dyDescent="0.45">
      <c r="A84" t="str">
        <f>VLOOKUP(B84,'List of economies'!$A$2:$D$219,4,FALSE)</f>
        <v>Upper middle income</v>
      </c>
      <c r="B84" t="s">
        <v>110</v>
      </c>
      <c r="C84">
        <v>15456.19899336581</v>
      </c>
      <c r="D84">
        <v>3.2000000000000001E-2</v>
      </c>
      <c r="E84">
        <f t="shared" si="9"/>
        <v>494.59836778770591</v>
      </c>
      <c r="F84">
        <v>13397.523481334631</v>
      </c>
      <c r="G84">
        <v>3.1E-2</v>
      </c>
      <c r="H84">
        <f t="shared" si="10"/>
        <v>415.32322792137353</v>
      </c>
      <c r="I84">
        <f t="shared" si="11"/>
        <v>0.15366089971025731</v>
      </c>
      <c r="J84">
        <f t="shared" si="12"/>
        <v>0.19087576744284629</v>
      </c>
      <c r="K84">
        <f t="shared" si="13"/>
        <v>1.2421882717253463</v>
      </c>
    </row>
    <row r="85" spans="1:11" x14ac:dyDescent="0.45">
      <c r="A85" t="str">
        <f>VLOOKUP(B85,'List of economies'!$A$2:$D$219,4,FALSE)</f>
        <v>Upper middle income</v>
      </c>
      <c r="B85" t="s">
        <v>18</v>
      </c>
      <c r="C85">
        <v>24712.06585751352</v>
      </c>
      <c r="D85">
        <v>0.252</v>
      </c>
      <c r="E85">
        <f t="shared" si="9"/>
        <v>6227.4405960934073</v>
      </c>
      <c r="F85">
        <v>15791.171476220708</v>
      </c>
      <c r="G85">
        <v>0.20800000000000002</v>
      </c>
      <c r="H85">
        <f t="shared" si="10"/>
        <v>3284.5636670539075</v>
      </c>
      <c r="I85">
        <f t="shared" si="11"/>
        <v>0.56492923243385884</v>
      </c>
      <c r="J85">
        <f t="shared" si="12"/>
        <v>0.89597195467948287</v>
      </c>
      <c r="K85">
        <f t="shared" si="13"/>
        <v>1.5859897191359842</v>
      </c>
    </row>
    <row r="86" spans="1:11" x14ac:dyDescent="0.45">
      <c r="A86" t="str">
        <f>VLOOKUP(B86,'List of economies'!$A$2:$D$219,4,FALSE)</f>
        <v>Upper middle income</v>
      </c>
      <c r="B86" t="s">
        <v>48</v>
      </c>
      <c r="C86">
        <v>18550.462890625</v>
      </c>
      <c r="D86">
        <v>0.13600000000000001</v>
      </c>
      <c r="E86">
        <f t="shared" si="9"/>
        <v>2522.8629531250003</v>
      </c>
      <c r="F86">
        <v>9921.833984375</v>
      </c>
      <c r="G86">
        <v>0.17399999999999999</v>
      </c>
      <c r="H86">
        <f t="shared" si="10"/>
        <v>1726.3991132812498</v>
      </c>
      <c r="I86">
        <f t="shared" si="11"/>
        <v>0.86966068166817223</v>
      </c>
      <c r="J86">
        <f t="shared" si="12"/>
        <v>0.46134398107397412</v>
      </c>
      <c r="K86">
        <f t="shared" si="13"/>
        <v>0.53048733925630609</v>
      </c>
    </row>
    <row r="87" spans="1:11" x14ac:dyDescent="0.45">
      <c r="B87" t="s">
        <v>527</v>
      </c>
      <c r="C87">
        <v>45639.019273594407</v>
      </c>
      <c r="D87">
        <v>0.107</v>
      </c>
      <c r="E87">
        <f t="shared" si="9"/>
        <v>4883.3750622746011</v>
      </c>
      <c r="F87">
        <v>25890.054890105785</v>
      </c>
      <c r="G87">
        <v>6.7000000000000004E-2</v>
      </c>
      <c r="H87">
        <f t="shared" si="10"/>
        <v>1734.6336776370877</v>
      </c>
      <c r="I87">
        <f>C87/F87-1</f>
        <v>0.7628011785728559</v>
      </c>
      <c r="J87">
        <f>E87/H87-1</f>
        <v>1.8152197926462024</v>
      </c>
      <c r="K87">
        <f t="shared" ref="K87" si="14">J87/I87</f>
        <v>2.3796761772737991</v>
      </c>
    </row>
  </sheetData>
  <sortState xmlns:xlrd2="http://schemas.microsoft.com/office/spreadsheetml/2017/richdata2" ref="A3:J86">
    <sortCondition ref="A3:A86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9E514-F482-4CF5-9C64-8B4415B44137}">
  <sheetPr filterMode="1"/>
  <dimension ref="A1:D85"/>
  <sheetViews>
    <sheetView topLeftCell="A55" zoomScale="95" workbookViewId="0">
      <selection activeCell="D69" sqref="D69"/>
    </sheetView>
  </sheetViews>
  <sheetFormatPr defaultRowHeight="14.25" x14ac:dyDescent="0.45"/>
  <sheetData>
    <row r="1" spans="1:4" x14ac:dyDescent="0.45">
      <c r="A1" t="s">
        <v>597</v>
      </c>
      <c r="B1" t="s">
        <v>578</v>
      </c>
      <c r="C1" t="s">
        <v>1</v>
      </c>
      <c r="D1" t="s">
        <v>596</v>
      </c>
    </row>
    <row r="2" spans="1:4" x14ac:dyDescent="0.45">
      <c r="A2">
        <v>1</v>
      </c>
      <c r="B2" t="str">
        <f>VLOOKUP(C2,'List of economies'!$A$2:$D$219,4,FALSE)</f>
        <v>High income</v>
      </c>
      <c r="C2" t="s">
        <v>107</v>
      </c>
      <c r="D2">
        <v>-0.13772537490289999</v>
      </c>
    </row>
    <row r="3" spans="1:4" x14ac:dyDescent="0.45">
      <c r="A3">
        <v>1</v>
      </c>
      <c r="B3" t="str">
        <f>VLOOKUP(C3,'List of economies'!$A$2:$D$219,4,FALSE)</f>
        <v>Lower middle income</v>
      </c>
      <c r="C3" t="s">
        <v>101</v>
      </c>
      <c r="D3">
        <v>-8.5681991256276832E-2</v>
      </c>
    </row>
    <row r="4" spans="1:4" x14ac:dyDescent="0.45">
      <c r="A4">
        <v>1</v>
      </c>
      <c r="B4" t="str">
        <f>VLOOKUP(C4,'List of economies'!$A$2:$D$219,4,FALSE)</f>
        <v>Upper middle income</v>
      </c>
      <c r="C4" t="s">
        <v>31</v>
      </c>
      <c r="D4">
        <v>7.1427344157288145E-2</v>
      </c>
    </row>
    <row r="5" spans="1:4" x14ac:dyDescent="0.45">
      <c r="A5">
        <v>1</v>
      </c>
      <c r="B5" t="str">
        <f>VLOOKUP(C5,'List of economies'!$A$2:$D$219,4,FALSE)</f>
        <v>Upper middle income</v>
      </c>
      <c r="C5" t="s">
        <v>30</v>
      </c>
      <c r="D5">
        <v>0.22604104808750364</v>
      </c>
    </row>
    <row r="6" spans="1:4" x14ac:dyDescent="0.45">
      <c r="A6">
        <v>1</v>
      </c>
      <c r="B6" t="str">
        <f>VLOOKUP(C6,'List of economies'!$A$2:$D$219,4,FALSE)</f>
        <v>Lower middle income</v>
      </c>
      <c r="C6" t="s">
        <v>51</v>
      </c>
      <c r="D6">
        <v>0.33233390091000292</v>
      </c>
    </row>
    <row r="7" spans="1:4" x14ac:dyDescent="0.45">
      <c r="A7">
        <v>1</v>
      </c>
      <c r="B7" t="str">
        <f>VLOOKUP(C7,'List of economies'!$A$2:$D$219,4,FALSE)</f>
        <v>High income</v>
      </c>
      <c r="C7" t="s">
        <v>89</v>
      </c>
      <c r="D7">
        <v>0.3858681280537043</v>
      </c>
    </row>
    <row r="8" spans="1:4" hidden="1" x14ac:dyDescent="0.45">
      <c r="B8" t="str">
        <f>VLOOKUP(C8,'List of economies'!$A$2:$D$219,4,FALSE)</f>
        <v>Upper middle income</v>
      </c>
      <c r="C8" t="s">
        <v>68</v>
      </c>
      <c r="D8">
        <v>0.39200324598400538</v>
      </c>
    </row>
    <row r="9" spans="1:4" hidden="1" x14ac:dyDescent="0.45">
      <c r="B9" t="str">
        <f>VLOOKUP(C9,'List of economies'!$A$2:$D$219,4,FALSE)</f>
        <v>Upper middle income</v>
      </c>
      <c r="C9" t="s">
        <v>40</v>
      </c>
      <c r="D9">
        <v>0.45783235613217815</v>
      </c>
    </row>
    <row r="10" spans="1:4" x14ac:dyDescent="0.45">
      <c r="A10">
        <v>1</v>
      </c>
      <c r="B10" t="str">
        <f>VLOOKUP(C10,'List of economies'!$A$2:$D$219,4,FALSE)</f>
        <v>High income</v>
      </c>
      <c r="C10" t="s">
        <v>96</v>
      </c>
      <c r="D10">
        <v>0.49231031846325118</v>
      </c>
    </row>
    <row r="11" spans="1:4" x14ac:dyDescent="0.45">
      <c r="A11">
        <v>1</v>
      </c>
      <c r="B11" t="str">
        <f>VLOOKUP(C11,'List of economies'!$A$2:$D$219,4,FALSE)</f>
        <v>Upper middle income</v>
      </c>
      <c r="C11" t="s">
        <v>82</v>
      </c>
      <c r="D11">
        <v>0.51021156088677855</v>
      </c>
    </row>
    <row r="12" spans="1:4" x14ac:dyDescent="0.45">
      <c r="A12">
        <v>1</v>
      </c>
      <c r="B12" t="str">
        <f>VLOOKUP(C12,'List of economies'!$A$2:$D$219,4,FALSE)</f>
        <v>Upper middle income</v>
      </c>
      <c r="C12" t="s">
        <v>59</v>
      </c>
      <c r="D12">
        <v>0.51292143243899735</v>
      </c>
    </row>
    <row r="13" spans="1:4" x14ac:dyDescent="0.45">
      <c r="A13">
        <v>1</v>
      </c>
      <c r="B13" t="str">
        <f>VLOOKUP(C13,'List of economies'!$A$2:$D$219,4,FALSE)</f>
        <v>High income</v>
      </c>
      <c r="C13" t="s">
        <v>83</v>
      </c>
      <c r="D13">
        <v>0.52655884994621427</v>
      </c>
    </row>
    <row r="14" spans="1:4" x14ac:dyDescent="0.45">
      <c r="A14">
        <v>1</v>
      </c>
      <c r="B14" t="str">
        <f>VLOOKUP(C14,'List of economies'!$A$2:$D$219,4,FALSE)</f>
        <v>Upper middle income</v>
      </c>
      <c r="C14" t="s">
        <v>48</v>
      </c>
      <c r="D14">
        <v>0.53048733925630609</v>
      </c>
    </row>
    <row r="15" spans="1:4" hidden="1" x14ac:dyDescent="0.45">
      <c r="B15" t="str">
        <f>VLOOKUP(C15,'List of economies'!$A$2:$D$219,4,FALSE)</f>
        <v>Upper middle income</v>
      </c>
      <c r="C15" t="s">
        <v>25</v>
      </c>
      <c r="D15">
        <v>0.55173195341044323</v>
      </c>
    </row>
    <row r="16" spans="1:4" x14ac:dyDescent="0.45">
      <c r="A16">
        <v>1</v>
      </c>
      <c r="B16" t="str">
        <f>VLOOKUP(C16,'List of economies'!$A$2:$D$219,4,FALSE)</f>
        <v>Upper middle income</v>
      </c>
      <c r="C16" t="s">
        <v>52</v>
      </c>
      <c r="D16">
        <v>0.56074103992791613</v>
      </c>
    </row>
    <row r="17" spans="1:4" x14ac:dyDescent="0.45">
      <c r="A17">
        <v>1</v>
      </c>
      <c r="B17" t="str">
        <f>VLOOKUP(C17,'List of economies'!$A$2:$D$219,4,FALSE)</f>
        <v>Upper middle income</v>
      </c>
      <c r="C17" t="s">
        <v>64</v>
      </c>
      <c r="D17">
        <v>0.5802370453647856</v>
      </c>
    </row>
    <row r="18" spans="1:4" x14ac:dyDescent="0.45">
      <c r="A18">
        <v>1</v>
      </c>
      <c r="B18" t="str">
        <f>VLOOKUP(C18,'List of economies'!$A$2:$D$219,4,FALSE)</f>
        <v>Upper middle income</v>
      </c>
      <c r="C18" t="s">
        <v>58</v>
      </c>
      <c r="D18">
        <v>0.65013701150765124</v>
      </c>
    </row>
    <row r="19" spans="1:4" x14ac:dyDescent="0.45">
      <c r="A19">
        <v>1</v>
      </c>
      <c r="B19" t="str">
        <f>VLOOKUP(C19,'List of economies'!$A$2:$D$219,4,FALSE)</f>
        <v>High income</v>
      </c>
      <c r="C19" t="s">
        <v>90</v>
      </c>
      <c r="D19">
        <v>0.7078789823903302</v>
      </c>
    </row>
    <row r="20" spans="1:4" x14ac:dyDescent="0.45">
      <c r="A20">
        <v>1</v>
      </c>
      <c r="B20" t="str">
        <f>VLOOKUP(C20,'List of economies'!$A$2:$D$219,4,FALSE)</f>
        <v>Upper middle income</v>
      </c>
      <c r="C20" t="s">
        <v>62</v>
      </c>
      <c r="D20">
        <v>0.7095205684175877</v>
      </c>
    </row>
    <row r="21" spans="1:4" x14ac:dyDescent="0.45">
      <c r="A21">
        <v>1</v>
      </c>
      <c r="B21" t="str">
        <f>VLOOKUP(C21,'List of economies'!$A$2:$D$219,4,FALSE)</f>
        <v>Upper middle income</v>
      </c>
      <c r="C21" t="s">
        <v>37</v>
      </c>
      <c r="D21">
        <v>0.73307971504517677</v>
      </c>
    </row>
    <row r="22" spans="1:4" x14ac:dyDescent="0.45">
      <c r="A22">
        <v>1</v>
      </c>
      <c r="B22" t="str">
        <f>VLOOKUP(C22,'List of economies'!$A$2:$D$219,4,FALSE)</f>
        <v>High income</v>
      </c>
      <c r="C22" t="s">
        <v>111</v>
      </c>
      <c r="D22">
        <v>0.77043640331987795</v>
      </c>
    </row>
    <row r="23" spans="1:4" x14ac:dyDescent="0.45">
      <c r="A23">
        <v>1</v>
      </c>
      <c r="B23" t="str">
        <f>VLOOKUP(C23,'List of economies'!$A$2:$D$219,4,FALSE)</f>
        <v>High income</v>
      </c>
      <c r="C23" t="s">
        <v>78</v>
      </c>
      <c r="D23">
        <v>0.78540479377434536</v>
      </c>
    </row>
    <row r="24" spans="1:4" x14ac:dyDescent="0.45">
      <c r="A24">
        <v>1</v>
      </c>
      <c r="B24" t="str">
        <f>VLOOKUP(C24,'List of economies'!$A$2:$D$219,4,FALSE)</f>
        <v>Lower middle income</v>
      </c>
      <c r="C24" t="s">
        <v>50</v>
      </c>
      <c r="D24">
        <v>0.8090801946939965</v>
      </c>
    </row>
    <row r="25" spans="1:4" hidden="1" x14ac:dyDescent="0.45">
      <c r="B25" t="str">
        <f>VLOOKUP(C25,'List of economies'!$A$2:$D$219,4,FALSE)</f>
        <v>Upper middle income</v>
      </c>
      <c r="C25" t="s">
        <v>91</v>
      </c>
      <c r="D25">
        <v>0.8415934666895738</v>
      </c>
    </row>
    <row r="26" spans="1:4" x14ac:dyDescent="0.45">
      <c r="A26">
        <v>1</v>
      </c>
      <c r="B26" t="str">
        <f>VLOOKUP(C26,'List of economies'!$A$2:$D$219,4,FALSE)</f>
        <v>Upper middle income</v>
      </c>
      <c r="C26" t="s">
        <v>33</v>
      </c>
      <c r="D26">
        <v>0.88450099532258641</v>
      </c>
    </row>
    <row r="27" spans="1:4" x14ac:dyDescent="0.45">
      <c r="A27">
        <v>1</v>
      </c>
      <c r="B27" t="str">
        <f>VLOOKUP(C27,'List of economies'!$A$2:$D$219,4,FALSE)</f>
        <v>Upper middle income</v>
      </c>
      <c r="C27" t="s">
        <v>35</v>
      </c>
      <c r="D27">
        <v>0.90720515716660011</v>
      </c>
    </row>
    <row r="28" spans="1:4" x14ac:dyDescent="0.45">
      <c r="A28">
        <v>1</v>
      </c>
      <c r="B28" t="str">
        <f>VLOOKUP(C28,'List of economies'!$A$2:$D$219,4,FALSE)</f>
        <v>High income</v>
      </c>
      <c r="C28" t="s">
        <v>63</v>
      </c>
      <c r="D28">
        <v>0.92438010109979474</v>
      </c>
    </row>
    <row r="29" spans="1:4" x14ac:dyDescent="0.45">
      <c r="A29">
        <v>1</v>
      </c>
      <c r="B29" t="str">
        <f>VLOOKUP(C29,'List of economies'!$A$2:$D$219,4,FALSE)</f>
        <v>High income</v>
      </c>
      <c r="C29" t="s">
        <v>71</v>
      </c>
      <c r="D29">
        <v>0.95746810539927507</v>
      </c>
    </row>
    <row r="30" spans="1:4" x14ac:dyDescent="0.45">
      <c r="A30">
        <v>1</v>
      </c>
      <c r="B30" t="str">
        <f>VLOOKUP(C30,'List of economies'!$A$2:$D$219,4,FALSE)</f>
        <v>High income</v>
      </c>
      <c r="C30" t="s">
        <v>84</v>
      </c>
      <c r="D30">
        <v>0.98171880978848991</v>
      </c>
    </row>
    <row r="31" spans="1:4" x14ac:dyDescent="0.45">
      <c r="A31">
        <v>1</v>
      </c>
      <c r="B31" t="str">
        <f>VLOOKUP(C31,'List of economies'!$A$2:$D$219,4,FALSE)</f>
        <v>High income</v>
      </c>
      <c r="C31" t="s">
        <v>112</v>
      </c>
      <c r="D31">
        <v>0.99999999999999933</v>
      </c>
    </row>
    <row r="32" spans="1:4" x14ac:dyDescent="0.45">
      <c r="A32">
        <v>1</v>
      </c>
      <c r="B32" t="str">
        <f>VLOOKUP(C32,'List of economies'!$A$2:$D$219,4,FALSE)</f>
        <v>Lower middle income</v>
      </c>
      <c r="C32" t="s">
        <v>43</v>
      </c>
      <c r="D32">
        <v>1</v>
      </c>
    </row>
    <row r="33" spans="1:4" x14ac:dyDescent="0.45">
      <c r="A33">
        <v>1</v>
      </c>
      <c r="B33" t="str">
        <f>VLOOKUP(C33,'List of economies'!$A$2:$D$219,4,FALSE)</f>
        <v>High income</v>
      </c>
      <c r="C33" t="s">
        <v>60</v>
      </c>
      <c r="D33">
        <v>1.0433925718127073</v>
      </c>
    </row>
    <row r="34" spans="1:4" x14ac:dyDescent="0.45">
      <c r="A34">
        <v>1</v>
      </c>
      <c r="B34" t="str">
        <f>VLOOKUP(C34,'List of economies'!$A$2:$D$219,4,FALSE)</f>
        <v>High income</v>
      </c>
      <c r="C34" t="s">
        <v>86</v>
      </c>
      <c r="D34">
        <v>1.0739748386574808</v>
      </c>
    </row>
    <row r="35" spans="1:4" x14ac:dyDescent="0.45">
      <c r="A35">
        <v>1</v>
      </c>
      <c r="B35" t="str">
        <f>VLOOKUP(C35,'List of economies'!$A$2:$D$219,4,FALSE)</f>
        <v>High income</v>
      </c>
      <c r="C35" t="s">
        <v>74</v>
      </c>
      <c r="D35">
        <v>1.0796902938296189</v>
      </c>
    </row>
    <row r="36" spans="1:4" x14ac:dyDescent="0.45">
      <c r="A36">
        <v>1</v>
      </c>
      <c r="B36" t="str">
        <f>VLOOKUP(C36,'List of economies'!$A$2:$D$219,4,FALSE)</f>
        <v>Upper middle income</v>
      </c>
      <c r="C36" t="s">
        <v>36</v>
      </c>
      <c r="D36">
        <v>1.0835676407338493</v>
      </c>
    </row>
    <row r="37" spans="1:4" x14ac:dyDescent="0.45">
      <c r="A37">
        <v>1</v>
      </c>
      <c r="B37" t="str">
        <f>VLOOKUP(C37,'List of economies'!$A$2:$D$219,4,FALSE)</f>
        <v>Upper middle income</v>
      </c>
      <c r="C37" t="s">
        <v>87</v>
      </c>
      <c r="D37">
        <v>1.0971714868845934</v>
      </c>
    </row>
    <row r="38" spans="1:4" hidden="1" x14ac:dyDescent="0.45">
      <c r="B38" t="str">
        <f>VLOOKUP(C38,'List of economies'!$A$2:$D$219,4,FALSE)</f>
        <v>Upper middle income</v>
      </c>
      <c r="C38" t="s">
        <v>53</v>
      </c>
      <c r="D38">
        <v>1.1064672474269635</v>
      </c>
    </row>
    <row r="39" spans="1:4" hidden="1" x14ac:dyDescent="0.45">
      <c r="B39" t="str">
        <f>VLOOKUP(C39,'List of economies'!$A$2:$D$219,4,FALSE)</f>
        <v>High income</v>
      </c>
      <c r="C39" t="s">
        <v>73</v>
      </c>
      <c r="D39">
        <v>1.1084809718224731</v>
      </c>
    </row>
    <row r="40" spans="1:4" x14ac:dyDescent="0.45">
      <c r="A40">
        <v>1</v>
      </c>
      <c r="B40" t="str">
        <f>VLOOKUP(C40,'List of economies'!$A$2:$D$219,4,FALSE)</f>
        <v>High income</v>
      </c>
      <c r="C40" t="s">
        <v>88</v>
      </c>
      <c r="D40">
        <v>1.1172263785889052</v>
      </c>
    </row>
    <row r="41" spans="1:4" x14ac:dyDescent="0.45">
      <c r="A41">
        <v>1</v>
      </c>
      <c r="B41" t="str">
        <f>VLOOKUP(C41,'List of economies'!$A$2:$D$219,4,FALSE)</f>
        <v>High income</v>
      </c>
      <c r="C41" t="s">
        <v>102</v>
      </c>
      <c r="D41">
        <v>1.1236391622205217</v>
      </c>
    </row>
    <row r="42" spans="1:4" x14ac:dyDescent="0.45">
      <c r="A42">
        <v>1</v>
      </c>
      <c r="B42" t="str">
        <f>VLOOKUP(C42,'List of economies'!$A$2:$D$219,4,FALSE)</f>
        <v>Lower middle income</v>
      </c>
      <c r="C42" t="s">
        <v>76</v>
      </c>
      <c r="D42">
        <v>1.15413548716754</v>
      </c>
    </row>
    <row r="43" spans="1:4" x14ac:dyDescent="0.45">
      <c r="A43">
        <v>1</v>
      </c>
      <c r="B43" t="str">
        <f>VLOOKUP(C43,'List of economies'!$A$2:$D$219,4,FALSE)</f>
        <v>Upper middle income</v>
      </c>
      <c r="C43" t="s">
        <v>16</v>
      </c>
      <c r="D43">
        <v>1.1580517801922874</v>
      </c>
    </row>
    <row r="44" spans="1:4" x14ac:dyDescent="0.45">
      <c r="A44">
        <v>1</v>
      </c>
      <c r="B44" t="str">
        <f>VLOOKUP(C44,'List of economies'!$A$2:$D$219,4,FALSE)</f>
        <v>High income</v>
      </c>
      <c r="C44" t="s">
        <v>80</v>
      </c>
      <c r="D44">
        <v>1.1787154220099207</v>
      </c>
    </row>
    <row r="45" spans="1:4" x14ac:dyDescent="0.45">
      <c r="A45">
        <v>1</v>
      </c>
      <c r="B45" t="str">
        <f>VLOOKUP(C45,'List of economies'!$A$2:$D$219,4,FALSE)</f>
        <v>High income</v>
      </c>
      <c r="C45" t="s">
        <v>19</v>
      </c>
      <c r="D45">
        <v>1.1994991308461673</v>
      </c>
    </row>
    <row r="46" spans="1:4" x14ac:dyDescent="0.45">
      <c r="A46">
        <v>1</v>
      </c>
      <c r="B46" t="str">
        <f>VLOOKUP(C46,'List of economies'!$A$2:$D$219,4,FALSE)</f>
        <v>High income</v>
      </c>
      <c r="C46" t="s">
        <v>93</v>
      </c>
      <c r="D46">
        <v>1.2041571427091164</v>
      </c>
    </row>
    <row r="47" spans="1:4" x14ac:dyDescent="0.45">
      <c r="A47">
        <v>1</v>
      </c>
      <c r="B47" t="str">
        <f>VLOOKUP(C47,'List of economies'!$A$2:$D$219,4,FALSE)</f>
        <v>High income</v>
      </c>
      <c r="C47" t="s">
        <v>103</v>
      </c>
      <c r="D47">
        <v>1.2122096343312847</v>
      </c>
    </row>
    <row r="48" spans="1:4" x14ac:dyDescent="0.45">
      <c r="A48">
        <v>1</v>
      </c>
      <c r="B48" t="str">
        <f>VLOOKUP(C48,'List of economies'!$A$2:$D$219,4,FALSE)</f>
        <v>High income</v>
      </c>
      <c r="C48" t="s">
        <v>92</v>
      </c>
      <c r="D48">
        <v>1.2246058029307421</v>
      </c>
    </row>
    <row r="49" spans="1:4" hidden="1" x14ac:dyDescent="0.45">
      <c r="B49" t="str">
        <f>VLOOKUP(C49,'List of economies'!$A$2:$D$219,4,FALSE)</f>
        <v>Upper middle income</v>
      </c>
      <c r="C49" t="s">
        <v>110</v>
      </c>
      <c r="D49">
        <v>1.2421882717253463</v>
      </c>
    </row>
    <row r="50" spans="1:4" hidden="1" x14ac:dyDescent="0.45">
      <c r="B50" t="str">
        <f>VLOOKUP(C50,'List of economies'!$A$2:$D$219,4,FALSE)</f>
        <v>Lower middle income</v>
      </c>
      <c r="C50" t="s">
        <v>61</v>
      </c>
      <c r="D50">
        <v>1.3094188052782534</v>
      </c>
    </row>
    <row r="51" spans="1:4" hidden="1" x14ac:dyDescent="0.45">
      <c r="B51" t="str">
        <f>VLOOKUP(C51,'List of economies'!$A$2:$D$219,4,FALSE)</f>
        <v>Upper middle income</v>
      </c>
      <c r="C51" t="s">
        <v>26</v>
      </c>
      <c r="D51">
        <v>1.3698083970646968</v>
      </c>
    </row>
    <row r="52" spans="1:4" x14ac:dyDescent="0.45">
      <c r="A52">
        <v>1</v>
      </c>
      <c r="B52" t="str">
        <f>VLOOKUP(C52,'List of economies'!$A$2:$D$219,4,FALSE)</f>
        <v>High income</v>
      </c>
      <c r="C52" t="s">
        <v>94</v>
      </c>
      <c r="D52">
        <v>1.3960176305923604</v>
      </c>
    </row>
    <row r="53" spans="1:4" x14ac:dyDescent="0.45">
      <c r="A53">
        <v>1</v>
      </c>
      <c r="B53" t="str">
        <f>VLOOKUP(C53,'List of economies'!$A$2:$D$219,4,FALSE)</f>
        <v>High income</v>
      </c>
      <c r="C53" t="s">
        <v>95</v>
      </c>
      <c r="D53">
        <v>1.4039600851387477</v>
      </c>
    </row>
    <row r="54" spans="1:4" x14ac:dyDescent="0.45">
      <c r="A54">
        <v>1</v>
      </c>
      <c r="B54" t="str">
        <f>VLOOKUP(C54,'List of economies'!$A$2:$D$219,4,FALSE)</f>
        <v>High income</v>
      </c>
      <c r="C54" t="s">
        <v>54</v>
      </c>
      <c r="D54">
        <v>1.4107491551390263</v>
      </c>
    </row>
    <row r="55" spans="1:4" x14ac:dyDescent="0.45">
      <c r="A55">
        <v>1</v>
      </c>
      <c r="B55" t="str">
        <f>VLOOKUP(C55,'List of economies'!$A$2:$D$219,4,FALSE)</f>
        <v>High income</v>
      </c>
      <c r="C55" t="s">
        <v>104</v>
      </c>
      <c r="D55">
        <v>1.4721176120963089</v>
      </c>
    </row>
    <row r="56" spans="1:4" x14ac:dyDescent="0.45">
      <c r="A56">
        <v>1</v>
      </c>
      <c r="B56" t="str">
        <f>VLOOKUP(C56,'List of economies'!$A$2:$D$219,4,FALSE)</f>
        <v>Lower middle income</v>
      </c>
      <c r="C56" t="s">
        <v>20</v>
      </c>
      <c r="D56">
        <v>1.4814060895957997</v>
      </c>
    </row>
    <row r="57" spans="1:4" x14ac:dyDescent="0.45">
      <c r="A57">
        <v>1</v>
      </c>
      <c r="B57" t="str">
        <f>VLOOKUP(C57,'List of economies'!$A$2:$D$219,4,FALSE)</f>
        <v>High income</v>
      </c>
      <c r="C57" t="s">
        <v>55</v>
      </c>
      <c r="D57">
        <v>1.5008810071160805</v>
      </c>
    </row>
    <row r="58" spans="1:4" hidden="1" x14ac:dyDescent="0.45">
      <c r="B58" t="str">
        <f>VLOOKUP(C58,'List of economies'!$A$2:$D$219,4,FALSE)</f>
        <v>Lower middle income</v>
      </c>
      <c r="C58" t="s">
        <v>65</v>
      </c>
      <c r="D58">
        <v>1.5035096693152072</v>
      </c>
    </row>
    <row r="59" spans="1:4" hidden="1" x14ac:dyDescent="0.45">
      <c r="B59" t="str">
        <f>VLOOKUP(C59,'List of economies'!$A$2:$D$219,4,FALSE)</f>
        <v>Lower middle income</v>
      </c>
      <c r="C59" t="s">
        <v>67</v>
      </c>
      <c r="D59">
        <v>1.5158425294260338</v>
      </c>
    </row>
    <row r="60" spans="1:4" x14ac:dyDescent="0.45">
      <c r="A60">
        <v>1</v>
      </c>
      <c r="B60" t="str">
        <f>VLOOKUP(C60,'List of economies'!$A$2:$D$219,4,FALSE)</f>
        <v>Upper middle income</v>
      </c>
      <c r="C60" t="s">
        <v>18</v>
      </c>
      <c r="D60">
        <v>1.5859897191359842</v>
      </c>
    </row>
    <row r="61" spans="1:4" x14ac:dyDescent="0.45">
      <c r="A61">
        <v>1</v>
      </c>
      <c r="B61" t="str">
        <f>VLOOKUP(C61,'List of economies'!$A$2:$D$219,4,FALSE)</f>
        <v>High income</v>
      </c>
      <c r="C61" t="s">
        <v>97</v>
      </c>
      <c r="D61">
        <v>1.5920009240821906</v>
      </c>
    </row>
    <row r="62" spans="1:4" x14ac:dyDescent="0.45">
      <c r="A62">
        <v>1</v>
      </c>
      <c r="B62" t="str">
        <f>VLOOKUP(C62,'List of economies'!$A$2:$D$219,4,FALSE)</f>
        <v>High income</v>
      </c>
      <c r="C62" t="s">
        <v>70</v>
      </c>
      <c r="D62">
        <v>1.6004528220825238</v>
      </c>
    </row>
    <row r="63" spans="1:4" hidden="1" x14ac:dyDescent="0.45">
      <c r="B63" t="str">
        <f>VLOOKUP(C63,'List of economies'!$A$2:$D$219,4,FALSE)</f>
        <v>Upper middle income</v>
      </c>
      <c r="C63" t="s">
        <v>28</v>
      </c>
      <c r="D63">
        <v>1.6368327534298179</v>
      </c>
    </row>
    <row r="64" spans="1:4" x14ac:dyDescent="0.45">
      <c r="A64">
        <v>1</v>
      </c>
      <c r="B64" t="str">
        <f>VLOOKUP(C64,'List of economies'!$A$2:$D$219,4,FALSE)</f>
        <v>High income</v>
      </c>
      <c r="C64" t="s">
        <v>106</v>
      </c>
      <c r="D64">
        <v>1.74477583671431</v>
      </c>
    </row>
    <row r="65" spans="1:4" x14ac:dyDescent="0.45">
      <c r="A65">
        <v>1</v>
      </c>
      <c r="B65" t="str">
        <f>VLOOKUP(C65,'List of economies'!$A$2:$D$219,4,FALSE)</f>
        <v>High income</v>
      </c>
      <c r="C65" t="s">
        <v>46</v>
      </c>
      <c r="D65">
        <v>1.7511081785307552</v>
      </c>
    </row>
    <row r="66" spans="1:4" x14ac:dyDescent="0.45">
      <c r="A66">
        <v>1</v>
      </c>
      <c r="B66" t="str">
        <f>VLOOKUP(C66,'List of economies'!$A$2:$D$219,4,FALSE)</f>
        <v>Upper middle income</v>
      </c>
      <c r="C66" t="s">
        <v>24</v>
      </c>
      <c r="D66">
        <v>1.7821115285915263</v>
      </c>
    </row>
    <row r="67" spans="1:4" x14ac:dyDescent="0.45">
      <c r="A67">
        <v>1</v>
      </c>
      <c r="B67" t="str">
        <f>VLOOKUP(C67,'List of economies'!$A$2:$D$219,4,FALSE)</f>
        <v>High income</v>
      </c>
      <c r="C67" t="s">
        <v>98</v>
      </c>
      <c r="D67">
        <v>1.7964739288437765</v>
      </c>
    </row>
    <row r="68" spans="1:4" x14ac:dyDescent="0.45">
      <c r="A68">
        <v>1</v>
      </c>
      <c r="B68" t="str">
        <f>VLOOKUP(C68,'List of economies'!$A$2:$D$219,4,FALSE)</f>
        <v>High income</v>
      </c>
      <c r="C68" t="s">
        <v>109</v>
      </c>
      <c r="D68">
        <v>1.7977321129437147</v>
      </c>
    </row>
    <row r="69" spans="1:4" x14ac:dyDescent="0.45">
      <c r="A69">
        <v>1</v>
      </c>
      <c r="B69" t="str">
        <f>VLOOKUP(C69,'List of economies'!$A$2:$D$219,4,FALSE)</f>
        <v>High income</v>
      </c>
      <c r="C69" t="s">
        <v>57</v>
      </c>
      <c r="D69">
        <v>1.851062642134278</v>
      </c>
    </row>
    <row r="70" spans="1:4" hidden="1" x14ac:dyDescent="0.45">
      <c r="B70" t="str">
        <f>VLOOKUP(C70,'List of economies'!$A$2:$D$219,4,FALSE)</f>
        <v>Upper middle income</v>
      </c>
      <c r="C70" t="s">
        <v>32</v>
      </c>
      <c r="D70">
        <v>1.940103996940036</v>
      </c>
    </row>
    <row r="71" spans="1:4" x14ac:dyDescent="0.45">
      <c r="A71">
        <v>1</v>
      </c>
      <c r="B71" t="str">
        <f>VLOOKUP(C71,'List of economies'!$A$2:$D$219,4,FALSE)</f>
        <v>High income</v>
      </c>
      <c r="C71" t="s">
        <v>85</v>
      </c>
      <c r="D71">
        <v>2.0250014974112758</v>
      </c>
    </row>
    <row r="72" spans="1:4" hidden="1" x14ac:dyDescent="0.45">
      <c r="B72" t="str">
        <f>VLOOKUP(C72,'List of economies'!$A$2:$D$219,4,FALSE)</f>
        <v>High income</v>
      </c>
      <c r="C72" t="s">
        <v>72</v>
      </c>
      <c r="D72">
        <v>2.1217123175622103</v>
      </c>
    </row>
    <row r="73" spans="1:4" x14ac:dyDescent="0.45">
      <c r="A73">
        <v>1</v>
      </c>
      <c r="B73" t="str">
        <f>VLOOKUP(C73,'List of economies'!$A$2:$D$219,4,FALSE)</f>
        <v>High income</v>
      </c>
      <c r="C73" t="s">
        <v>56</v>
      </c>
      <c r="D73">
        <v>2.1492528006936547</v>
      </c>
    </row>
    <row r="74" spans="1:4" hidden="1" x14ac:dyDescent="0.45">
      <c r="B74" t="str">
        <f>VLOOKUP(C74,'List of economies'!$A$2:$D$219,4,FALSE)</f>
        <v>High income</v>
      </c>
      <c r="C74" t="s">
        <v>34</v>
      </c>
      <c r="D74">
        <v>2.1726607552921053</v>
      </c>
    </row>
    <row r="75" spans="1:4" hidden="1" x14ac:dyDescent="0.45">
      <c r="B75" t="str">
        <f>VLOOKUP(C75,'List of economies'!$A$2:$D$219,4,FALSE)</f>
        <v>Lower middle income</v>
      </c>
      <c r="C75" t="s">
        <v>14</v>
      </c>
      <c r="D75">
        <v>2.2991932472161118</v>
      </c>
    </row>
    <row r="76" spans="1:4" x14ac:dyDescent="0.45">
      <c r="A76">
        <v>1</v>
      </c>
      <c r="B76" t="str">
        <f>VLOOKUP(C76,'List of economies'!$A$2:$D$219,4,FALSE)</f>
        <v>High income</v>
      </c>
      <c r="C76" t="s">
        <v>99</v>
      </c>
      <c r="D76">
        <v>2.4376196451157579</v>
      </c>
    </row>
    <row r="77" spans="1:4" x14ac:dyDescent="0.45">
      <c r="A77">
        <v>1</v>
      </c>
      <c r="B77" t="str">
        <f>VLOOKUP(C77,'List of economies'!$A$2:$D$219,4,FALSE)</f>
        <v>Upper middle income</v>
      </c>
      <c r="C77" t="s">
        <v>29</v>
      </c>
      <c r="D77">
        <v>2.5194212443271535</v>
      </c>
    </row>
    <row r="78" spans="1:4" x14ac:dyDescent="0.45">
      <c r="A78">
        <v>1</v>
      </c>
      <c r="B78" t="str">
        <f>VLOOKUP(C78,'List of economies'!$A$2:$D$219,4,FALSE)</f>
        <v>High income</v>
      </c>
      <c r="C78" t="s">
        <v>66</v>
      </c>
      <c r="D78">
        <v>2.5232261771087945</v>
      </c>
    </row>
    <row r="79" spans="1:4" x14ac:dyDescent="0.45">
      <c r="A79">
        <v>1</v>
      </c>
      <c r="B79" t="str">
        <f>VLOOKUP(C79,'List of economies'!$A$2:$D$219,4,FALSE)</f>
        <v>High income</v>
      </c>
      <c r="C79" t="s">
        <v>75</v>
      </c>
      <c r="D79">
        <v>2.5659827769992183</v>
      </c>
    </row>
    <row r="80" spans="1:4" x14ac:dyDescent="0.45">
      <c r="A80">
        <v>1</v>
      </c>
      <c r="B80" t="str">
        <f>VLOOKUP(C80,'List of economies'!$A$2:$D$219,4,FALSE)</f>
        <v>High income</v>
      </c>
      <c r="C80" t="s">
        <v>41</v>
      </c>
      <c r="D80">
        <v>2.8054443149757855</v>
      </c>
    </row>
    <row r="81" spans="1:4" hidden="1" x14ac:dyDescent="0.45">
      <c r="B81" t="str">
        <f>VLOOKUP(C81,'List of economies'!$A$2:$D$219,4,FALSE)</f>
        <v>High income</v>
      </c>
      <c r="C81" t="s">
        <v>79</v>
      </c>
      <c r="D81">
        <v>2.8483581024785849</v>
      </c>
    </row>
    <row r="82" spans="1:4" x14ac:dyDescent="0.45">
      <c r="A82">
        <v>1</v>
      </c>
      <c r="B82" t="str">
        <f>VLOOKUP(C82,'List of economies'!$A$2:$D$219,4,FALSE)</f>
        <v>High income</v>
      </c>
      <c r="C82" t="s">
        <v>100</v>
      </c>
      <c r="D82">
        <v>2.9499707221710607</v>
      </c>
    </row>
    <row r="83" spans="1:4" x14ac:dyDescent="0.45">
      <c r="A83">
        <v>1</v>
      </c>
      <c r="B83" t="str">
        <f>VLOOKUP(C83,'List of economies'!$A$2:$D$219,4,FALSE)</f>
        <v>High income</v>
      </c>
      <c r="C83" t="s">
        <v>81</v>
      </c>
      <c r="D83">
        <v>3.7686143876836096</v>
      </c>
    </row>
    <row r="84" spans="1:4" x14ac:dyDescent="0.45">
      <c r="A84">
        <v>1</v>
      </c>
      <c r="B84" t="str">
        <f>VLOOKUP(C84,'List of economies'!$A$2:$D$219,4,FALSE)</f>
        <v>Upper middle income</v>
      </c>
      <c r="C84" t="s">
        <v>69</v>
      </c>
      <c r="D84">
        <v>4.2134543798094146</v>
      </c>
    </row>
    <row r="85" spans="1:4" hidden="1" x14ac:dyDescent="0.45">
      <c r="B85" t="str">
        <f>VLOOKUP(C85,'List of economies'!$A$2:$D$219,4,FALSE)</f>
        <v>Lower middle income</v>
      </c>
      <c r="C85" t="s">
        <v>13</v>
      </c>
      <c r="D85">
        <v>7.388181339248483</v>
      </c>
    </row>
  </sheetData>
  <autoFilter ref="A1:D85" xr:uid="{EDF9E514-F482-4CF5-9C64-8B4415B44137}">
    <filterColumn colId="0">
      <customFilters>
        <customFilter operator="notEqual" val=" "/>
      </customFilters>
    </filterColumn>
  </autoFilter>
  <sortState xmlns:xlrd2="http://schemas.microsoft.com/office/spreadsheetml/2017/richdata2" ref="B2:D85">
    <sortCondition ref="D2:D8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F332-E273-4738-8BF5-11A7AA6DA614}">
  <dimension ref="A1:C62"/>
  <sheetViews>
    <sheetView zoomScale="90" zoomScaleNormal="90" workbookViewId="0">
      <selection activeCell="B1" sqref="B1"/>
    </sheetView>
  </sheetViews>
  <sheetFormatPr defaultRowHeight="14.25" x14ac:dyDescent="0.45"/>
  <sheetData>
    <row r="1" spans="1:3" x14ac:dyDescent="0.45">
      <c r="A1" t="s">
        <v>578</v>
      </c>
      <c r="B1" t="s">
        <v>1</v>
      </c>
      <c r="C1" t="s">
        <v>596</v>
      </c>
    </row>
    <row r="2" spans="1:3" x14ac:dyDescent="0.45">
      <c r="A2" t="s">
        <v>286</v>
      </c>
      <c r="B2" t="s">
        <v>107</v>
      </c>
      <c r="C2">
        <v>-0.13772537490289999</v>
      </c>
    </row>
    <row r="3" spans="1:3" x14ac:dyDescent="0.45">
      <c r="A3" t="s">
        <v>354</v>
      </c>
      <c r="B3" t="s">
        <v>101</v>
      </c>
      <c r="C3">
        <v>-8.5681991256276832E-2</v>
      </c>
    </row>
    <row r="4" spans="1:3" x14ac:dyDescent="0.45">
      <c r="A4" t="s">
        <v>534</v>
      </c>
      <c r="B4" t="s">
        <v>30</v>
      </c>
      <c r="C4">
        <v>0.22604104808750364</v>
      </c>
    </row>
    <row r="5" spans="1:3" x14ac:dyDescent="0.45">
      <c r="A5" t="s">
        <v>286</v>
      </c>
      <c r="B5" t="s">
        <v>89</v>
      </c>
      <c r="C5">
        <v>0.3858681280537043</v>
      </c>
    </row>
    <row r="6" spans="1:3" x14ac:dyDescent="0.45">
      <c r="A6" t="s">
        <v>286</v>
      </c>
      <c r="B6" t="s">
        <v>96</v>
      </c>
      <c r="C6">
        <v>0.49231031846325118</v>
      </c>
    </row>
    <row r="7" spans="1:3" x14ac:dyDescent="0.45">
      <c r="A7" t="s">
        <v>534</v>
      </c>
      <c r="B7" t="s">
        <v>82</v>
      </c>
      <c r="C7">
        <v>0.51021156088677855</v>
      </c>
    </row>
    <row r="8" spans="1:3" x14ac:dyDescent="0.45">
      <c r="A8" t="s">
        <v>534</v>
      </c>
      <c r="B8" t="s">
        <v>59</v>
      </c>
      <c r="C8">
        <v>0.51292143243899735</v>
      </c>
    </row>
    <row r="9" spans="1:3" x14ac:dyDescent="0.45">
      <c r="A9" t="s">
        <v>286</v>
      </c>
      <c r="B9" t="s">
        <v>83</v>
      </c>
      <c r="C9">
        <v>0.52655884994621427</v>
      </c>
    </row>
    <row r="10" spans="1:3" x14ac:dyDescent="0.45">
      <c r="A10" t="s">
        <v>534</v>
      </c>
      <c r="B10" t="s">
        <v>48</v>
      </c>
      <c r="C10">
        <v>0.53048733925630609</v>
      </c>
    </row>
    <row r="11" spans="1:3" x14ac:dyDescent="0.45">
      <c r="A11" t="s">
        <v>534</v>
      </c>
      <c r="B11" t="s">
        <v>52</v>
      </c>
      <c r="C11">
        <v>0.56074103992791613</v>
      </c>
    </row>
    <row r="12" spans="1:3" x14ac:dyDescent="0.45">
      <c r="A12" t="s">
        <v>286</v>
      </c>
      <c r="B12" t="s">
        <v>90</v>
      </c>
      <c r="C12">
        <v>0.7078789823903302</v>
      </c>
    </row>
    <row r="13" spans="1:3" x14ac:dyDescent="0.45">
      <c r="A13" t="s">
        <v>534</v>
      </c>
      <c r="B13" t="s">
        <v>62</v>
      </c>
      <c r="C13">
        <v>0.7095205684175877</v>
      </c>
    </row>
    <row r="14" spans="1:3" x14ac:dyDescent="0.45">
      <c r="A14" t="s">
        <v>534</v>
      </c>
      <c r="B14" t="s">
        <v>37</v>
      </c>
      <c r="C14">
        <v>0.73307971504517677</v>
      </c>
    </row>
    <row r="15" spans="1:3" x14ac:dyDescent="0.45">
      <c r="A15" t="s">
        <v>286</v>
      </c>
      <c r="B15" t="s">
        <v>111</v>
      </c>
      <c r="C15">
        <v>0.77043640331987795</v>
      </c>
    </row>
    <row r="16" spans="1:3" x14ac:dyDescent="0.45">
      <c r="A16" t="s">
        <v>286</v>
      </c>
      <c r="B16" t="s">
        <v>78</v>
      </c>
      <c r="C16">
        <v>0.78540479377434536</v>
      </c>
    </row>
    <row r="17" spans="1:3" x14ac:dyDescent="0.45">
      <c r="A17" t="s">
        <v>354</v>
      </c>
      <c r="B17" t="s">
        <v>50</v>
      </c>
      <c r="C17">
        <v>0.8090801946939965</v>
      </c>
    </row>
    <row r="18" spans="1:3" x14ac:dyDescent="0.45">
      <c r="A18" t="s">
        <v>534</v>
      </c>
      <c r="B18" t="s">
        <v>33</v>
      </c>
      <c r="C18">
        <v>0.88450099532258641</v>
      </c>
    </row>
    <row r="19" spans="1:3" x14ac:dyDescent="0.45">
      <c r="A19" t="s">
        <v>534</v>
      </c>
      <c r="B19" t="s">
        <v>35</v>
      </c>
      <c r="C19">
        <v>0.90720515716660011</v>
      </c>
    </row>
    <row r="20" spans="1:3" x14ac:dyDescent="0.45">
      <c r="A20" t="s">
        <v>286</v>
      </c>
      <c r="B20" t="s">
        <v>63</v>
      </c>
      <c r="C20">
        <v>0.92438010109979474</v>
      </c>
    </row>
    <row r="21" spans="1:3" x14ac:dyDescent="0.45">
      <c r="A21" t="s">
        <v>286</v>
      </c>
      <c r="B21" t="s">
        <v>71</v>
      </c>
      <c r="C21">
        <v>0.95746810539927507</v>
      </c>
    </row>
    <row r="22" spans="1:3" x14ac:dyDescent="0.45">
      <c r="A22" t="s">
        <v>286</v>
      </c>
      <c r="B22" t="s">
        <v>84</v>
      </c>
      <c r="C22">
        <v>0.98171880978848991</v>
      </c>
    </row>
    <row r="23" spans="1:3" x14ac:dyDescent="0.45">
      <c r="A23" t="s">
        <v>286</v>
      </c>
      <c r="B23" t="s">
        <v>112</v>
      </c>
      <c r="C23">
        <v>0.99999999999999933</v>
      </c>
    </row>
    <row r="24" spans="1:3" x14ac:dyDescent="0.45">
      <c r="A24" t="s">
        <v>286</v>
      </c>
      <c r="B24" t="s">
        <v>60</v>
      </c>
      <c r="C24">
        <v>1.0433925718127073</v>
      </c>
    </row>
    <row r="25" spans="1:3" x14ac:dyDescent="0.45">
      <c r="A25" t="s">
        <v>286</v>
      </c>
      <c r="B25" t="s">
        <v>86</v>
      </c>
      <c r="C25">
        <v>1.0739748386574808</v>
      </c>
    </row>
    <row r="26" spans="1:3" x14ac:dyDescent="0.45">
      <c r="A26" t="s">
        <v>286</v>
      </c>
      <c r="B26" t="s">
        <v>74</v>
      </c>
      <c r="C26">
        <v>1.0796902938296189</v>
      </c>
    </row>
    <row r="27" spans="1:3" x14ac:dyDescent="0.45">
      <c r="A27" t="s">
        <v>534</v>
      </c>
      <c r="B27" t="s">
        <v>36</v>
      </c>
      <c r="C27">
        <v>1.0835676407338493</v>
      </c>
    </row>
    <row r="28" spans="1:3" x14ac:dyDescent="0.45">
      <c r="A28" t="s">
        <v>286</v>
      </c>
      <c r="B28" t="s">
        <v>88</v>
      </c>
      <c r="C28">
        <v>1.1172263785889052</v>
      </c>
    </row>
    <row r="29" spans="1:3" x14ac:dyDescent="0.45">
      <c r="A29" t="s">
        <v>286</v>
      </c>
      <c r="B29" t="s">
        <v>102</v>
      </c>
      <c r="C29">
        <v>1.1236391622205217</v>
      </c>
    </row>
    <row r="30" spans="1:3" x14ac:dyDescent="0.45">
      <c r="A30" t="s">
        <v>354</v>
      </c>
      <c r="B30" t="s">
        <v>76</v>
      </c>
      <c r="C30">
        <v>1.15413548716754</v>
      </c>
    </row>
    <row r="31" spans="1:3" x14ac:dyDescent="0.45">
      <c r="A31" t="s">
        <v>534</v>
      </c>
      <c r="B31" t="s">
        <v>16</v>
      </c>
      <c r="C31">
        <v>1.1580517801922874</v>
      </c>
    </row>
    <row r="32" spans="1:3" x14ac:dyDescent="0.45">
      <c r="A32" t="s">
        <v>286</v>
      </c>
      <c r="B32" t="s">
        <v>80</v>
      </c>
      <c r="C32">
        <v>1.1787154220099207</v>
      </c>
    </row>
    <row r="33" spans="1:3" x14ac:dyDescent="0.45">
      <c r="A33" t="s">
        <v>286</v>
      </c>
      <c r="B33" t="s">
        <v>19</v>
      </c>
      <c r="C33">
        <v>1.1994991308461673</v>
      </c>
    </row>
    <row r="34" spans="1:3" x14ac:dyDescent="0.45">
      <c r="A34" t="s">
        <v>286</v>
      </c>
      <c r="B34" t="s">
        <v>93</v>
      </c>
      <c r="C34">
        <v>1.2041571427091164</v>
      </c>
    </row>
    <row r="35" spans="1:3" x14ac:dyDescent="0.45">
      <c r="A35" t="s">
        <v>286</v>
      </c>
      <c r="B35" t="s">
        <v>103</v>
      </c>
      <c r="C35">
        <v>1.2122096343312847</v>
      </c>
    </row>
    <row r="36" spans="1:3" x14ac:dyDescent="0.45">
      <c r="A36" t="s">
        <v>286</v>
      </c>
      <c r="B36" t="s">
        <v>92</v>
      </c>
      <c r="C36">
        <v>1.2246058029307421</v>
      </c>
    </row>
    <row r="37" spans="1:3" x14ac:dyDescent="0.45">
      <c r="A37" t="s">
        <v>599</v>
      </c>
      <c r="B37" t="s">
        <v>598</v>
      </c>
      <c r="C37">
        <v>1.3445016447063804</v>
      </c>
    </row>
    <row r="38" spans="1:3" x14ac:dyDescent="0.45">
      <c r="A38" t="s">
        <v>286</v>
      </c>
      <c r="B38" t="s">
        <v>94</v>
      </c>
      <c r="C38">
        <v>1.3960176305923604</v>
      </c>
    </row>
    <row r="39" spans="1:3" x14ac:dyDescent="0.45">
      <c r="A39" t="s">
        <v>286</v>
      </c>
      <c r="B39" t="s">
        <v>95</v>
      </c>
      <c r="C39">
        <v>1.4039600851387477</v>
      </c>
    </row>
    <row r="40" spans="1:3" x14ac:dyDescent="0.45">
      <c r="A40" t="s">
        <v>286</v>
      </c>
      <c r="B40" t="s">
        <v>54</v>
      </c>
      <c r="C40">
        <v>1.4107491551390263</v>
      </c>
    </row>
    <row r="41" spans="1:3" x14ac:dyDescent="0.45">
      <c r="A41" t="s">
        <v>286</v>
      </c>
      <c r="B41" t="s">
        <v>104</v>
      </c>
      <c r="C41">
        <v>1.4721176120963089</v>
      </c>
    </row>
    <row r="42" spans="1:3" x14ac:dyDescent="0.45">
      <c r="A42" t="s">
        <v>354</v>
      </c>
      <c r="B42" t="s">
        <v>20</v>
      </c>
      <c r="C42">
        <v>1.4814060895957997</v>
      </c>
    </row>
    <row r="43" spans="1:3" x14ac:dyDescent="0.45">
      <c r="A43" t="s">
        <v>286</v>
      </c>
      <c r="B43" t="s">
        <v>55</v>
      </c>
      <c r="C43">
        <v>1.5008810071160805</v>
      </c>
    </row>
    <row r="44" spans="1:3" x14ac:dyDescent="0.45">
      <c r="A44" t="s">
        <v>534</v>
      </c>
      <c r="B44" t="s">
        <v>18</v>
      </c>
      <c r="C44">
        <v>1.5859897191359842</v>
      </c>
    </row>
    <row r="45" spans="1:3" x14ac:dyDescent="0.45">
      <c r="A45" t="s">
        <v>286</v>
      </c>
      <c r="B45" t="s">
        <v>97</v>
      </c>
      <c r="C45">
        <v>1.5920009240821906</v>
      </c>
    </row>
    <row r="46" spans="1:3" x14ac:dyDescent="0.45">
      <c r="A46" t="s">
        <v>286</v>
      </c>
      <c r="B46" t="s">
        <v>70</v>
      </c>
      <c r="C46">
        <v>1.6004528220825238</v>
      </c>
    </row>
    <row r="47" spans="1:3" x14ac:dyDescent="0.45">
      <c r="A47" t="s">
        <v>286</v>
      </c>
      <c r="B47" t="s">
        <v>106</v>
      </c>
      <c r="C47">
        <v>1.74477583671431</v>
      </c>
    </row>
    <row r="48" spans="1:3" x14ac:dyDescent="0.45">
      <c r="A48" t="s">
        <v>286</v>
      </c>
      <c r="B48" t="s">
        <v>46</v>
      </c>
      <c r="C48">
        <v>1.7511081785307552</v>
      </c>
    </row>
    <row r="49" spans="1:3" x14ac:dyDescent="0.45">
      <c r="A49" t="s">
        <v>534</v>
      </c>
      <c r="B49" t="s">
        <v>24</v>
      </c>
      <c r="C49">
        <v>1.7821115285915263</v>
      </c>
    </row>
    <row r="50" spans="1:3" x14ac:dyDescent="0.45">
      <c r="A50" t="s">
        <v>286</v>
      </c>
      <c r="B50" t="s">
        <v>98</v>
      </c>
      <c r="C50">
        <v>1.7964739288437765</v>
      </c>
    </row>
    <row r="51" spans="1:3" x14ac:dyDescent="0.45">
      <c r="A51" t="s">
        <v>286</v>
      </c>
      <c r="B51" t="s">
        <v>109</v>
      </c>
      <c r="C51">
        <v>1.7977321129437147</v>
      </c>
    </row>
    <row r="52" spans="1:3" x14ac:dyDescent="0.45">
      <c r="A52" t="s">
        <v>286</v>
      </c>
      <c r="B52" t="s">
        <v>57</v>
      </c>
      <c r="C52">
        <v>1.851062642134278</v>
      </c>
    </row>
    <row r="53" spans="1:3" x14ac:dyDescent="0.45">
      <c r="A53" t="s">
        <v>286</v>
      </c>
      <c r="B53" t="s">
        <v>85</v>
      </c>
      <c r="C53">
        <v>2.0250014974112758</v>
      </c>
    </row>
    <row r="54" spans="1:3" x14ac:dyDescent="0.45">
      <c r="A54" t="s">
        <v>286</v>
      </c>
      <c r="B54" t="s">
        <v>56</v>
      </c>
      <c r="C54">
        <v>2.1492528006936547</v>
      </c>
    </row>
    <row r="55" spans="1:3" x14ac:dyDescent="0.45">
      <c r="A55" t="s">
        <v>286</v>
      </c>
      <c r="B55" t="s">
        <v>99</v>
      </c>
      <c r="C55">
        <v>2.4376196451157579</v>
      </c>
    </row>
    <row r="56" spans="1:3" x14ac:dyDescent="0.45">
      <c r="A56" t="s">
        <v>534</v>
      </c>
      <c r="B56" t="s">
        <v>29</v>
      </c>
      <c r="C56">
        <v>2.5194212443271535</v>
      </c>
    </row>
    <row r="57" spans="1:3" x14ac:dyDescent="0.45">
      <c r="A57" t="s">
        <v>286</v>
      </c>
      <c r="B57" t="s">
        <v>66</v>
      </c>
      <c r="C57">
        <v>2.5232261771087945</v>
      </c>
    </row>
    <row r="58" spans="1:3" x14ac:dyDescent="0.45">
      <c r="A58" t="s">
        <v>286</v>
      </c>
      <c r="B58" t="s">
        <v>75</v>
      </c>
      <c r="C58">
        <v>2.5659827769992183</v>
      </c>
    </row>
    <row r="59" spans="1:3" x14ac:dyDescent="0.45">
      <c r="A59" t="s">
        <v>286</v>
      </c>
      <c r="B59" t="s">
        <v>41</v>
      </c>
      <c r="C59">
        <v>2.8054443149757855</v>
      </c>
    </row>
    <row r="60" spans="1:3" x14ac:dyDescent="0.45">
      <c r="A60" t="s">
        <v>286</v>
      </c>
      <c r="B60" t="s">
        <v>100</v>
      </c>
      <c r="C60">
        <v>2.9499707221710607</v>
      </c>
    </row>
    <row r="61" spans="1:3" x14ac:dyDescent="0.45">
      <c r="A61" t="s">
        <v>286</v>
      </c>
      <c r="B61" t="s">
        <v>81</v>
      </c>
      <c r="C61">
        <v>3.7686143876836096</v>
      </c>
    </row>
    <row r="62" spans="1:3" x14ac:dyDescent="0.45">
      <c r="A62" t="s">
        <v>534</v>
      </c>
      <c r="B62" t="s">
        <v>69</v>
      </c>
      <c r="C62">
        <v>4.2134543798094146</v>
      </c>
    </row>
  </sheetData>
  <autoFilter ref="A1:C62" xr:uid="{6DE4F332-E273-4738-8BF5-11A7AA6DA614}"/>
  <sortState xmlns:xlrd2="http://schemas.microsoft.com/office/spreadsheetml/2017/richdata2" ref="A2:C62">
    <sortCondition ref="C2:C62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1653B-3A46-46D3-AE02-B4B8B6C9651F}">
  <dimension ref="B1:H2"/>
  <sheetViews>
    <sheetView workbookViewId="0">
      <selection activeCell="H2" sqref="H2"/>
    </sheetView>
  </sheetViews>
  <sheetFormatPr defaultRowHeight="14.25" x14ac:dyDescent="0.45"/>
  <cols>
    <col min="6" max="6" width="12.86328125" bestFit="1" customWidth="1"/>
  </cols>
  <sheetData>
    <row r="1" spans="2:8" x14ac:dyDescent="0.45">
      <c r="B1" t="s">
        <v>570</v>
      </c>
      <c r="C1" t="s">
        <v>571</v>
      </c>
      <c r="D1" t="s">
        <v>569</v>
      </c>
      <c r="E1" t="s">
        <v>570</v>
      </c>
      <c r="F1" t="s">
        <v>571</v>
      </c>
      <c r="G1" t="s">
        <v>569</v>
      </c>
      <c r="H1" t="s">
        <v>572</v>
      </c>
    </row>
    <row r="2" spans="2:8" x14ac:dyDescent="0.45">
      <c r="B2">
        <v>1000</v>
      </c>
      <c r="C2">
        <v>1.5</v>
      </c>
      <c r="D2">
        <f>B2*C2</f>
        <v>1500</v>
      </c>
      <c r="E2">
        <v>2000</v>
      </c>
      <c r="F2">
        <v>2</v>
      </c>
      <c r="G2">
        <f>E2*F2</f>
        <v>4000</v>
      </c>
      <c r="H2">
        <f>G2/D2-1</f>
        <v>1.6666666666666665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81BB3-4636-499E-BCDF-5D63269A4DEE}">
  <dimension ref="A1:E270"/>
  <sheetViews>
    <sheetView topLeftCell="A199" zoomScaleNormal="100" workbookViewId="0">
      <selection sqref="A1:A1048576"/>
    </sheetView>
  </sheetViews>
  <sheetFormatPr defaultColWidth="11.46484375" defaultRowHeight="14.25" x14ac:dyDescent="0.45"/>
  <cols>
    <col min="1" max="1" width="43.73046875" style="3" bestFit="1" customWidth="1"/>
    <col min="2" max="2" width="7.73046875" style="3" bestFit="1" customWidth="1"/>
    <col min="3" max="3" width="47.265625" style="5" bestFit="1" customWidth="1"/>
    <col min="4" max="4" width="19.46484375" style="5" bestFit="1" customWidth="1"/>
    <col min="5" max="5" width="17.73046875" style="5" bestFit="1" customWidth="1"/>
    <col min="6" max="16384" width="11.46484375" style="3"/>
  </cols>
  <sheetData>
    <row r="1" spans="1:5" s="1" customFormat="1" x14ac:dyDescent="0.45">
      <c r="A1" s="1" t="s">
        <v>575</v>
      </c>
      <c r="B1" s="1" t="s">
        <v>576</v>
      </c>
      <c r="C1" s="2" t="s">
        <v>577</v>
      </c>
      <c r="D1" s="2" t="s">
        <v>578</v>
      </c>
      <c r="E1" s="2" t="s">
        <v>579</v>
      </c>
    </row>
    <row r="2" spans="1:5" x14ac:dyDescent="0.45">
      <c r="A2" s="3" t="s">
        <v>140</v>
      </c>
      <c r="B2" s="3" t="s">
        <v>141</v>
      </c>
      <c r="C2" s="4" t="s">
        <v>377</v>
      </c>
      <c r="D2" s="5" t="s">
        <v>349</v>
      </c>
      <c r="E2" s="5" t="s">
        <v>302</v>
      </c>
    </row>
    <row r="3" spans="1:5" x14ac:dyDescent="0.45">
      <c r="A3" s="3" t="s">
        <v>36</v>
      </c>
      <c r="B3" s="3" t="s">
        <v>146</v>
      </c>
      <c r="C3" s="5" t="s">
        <v>237</v>
      </c>
      <c r="D3" s="5" t="s">
        <v>534</v>
      </c>
      <c r="E3" s="5" t="s">
        <v>580</v>
      </c>
    </row>
    <row r="4" spans="1:5" x14ac:dyDescent="0.45">
      <c r="A4" s="3" t="s">
        <v>31</v>
      </c>
      <c r="B4" s="3" t="s">
        <v>228</v>
      </c>
      <c r="C4" s="5" t="s">
        <v>377</v>
      </c>
      <c r="D4" s="5" t="s">
        <v>534</v>
      </c>
      <c r="E4" s="5" t="s">
        <v>580</v>
      </c>
    </row>
    <row r="5" spans="1:5" x14ac:dyDescent="0.45">
      <c r="A5" s="3" t="s">
        <v>154</v>
      </c>
      <c r="B5" s="3" t="s">
        <v>155</v>
      </c>
      <c r="C5" s="5" t="s">
        <v>233</v>
      </c>
      <c r="D5" s="5" t="s">
        <v>286</v>
      </c>
    </row>
    <row r="6" spans="1:5" x14ac:dyDescent="0.45">
      <c r="A6" s="3" t="s">
        <v>147</v>
      </c>
      <c r="B6" s="3" t="s">
        <v>148</v>
      </c>
      <c r="C6" s="5" t="s">
        <v>237</v>
      </c>
      <c r="D6" s="5" t="s">
        <v>286</v>
      </c>
    </row>
    <row r="7" spans="1:5" x14ac:dyDescent="0.45">
      <c r="A7" s="3" t="s">
        <v>144</v>
      </c>
      <c r="B7" s="3" t="s">
        <v>145</v>
      </c>
      <c r="C7" s="5" t="s">
        <v>477</v>
      </c>
      <c r="D7" s="5" t="s">
        <v>354</v>
      </c>
      <c r="E7" s="5" t="s">
        <v>580</v>
      </c>
    </row>
    <row r="8" spans="1:5" x14ac:dyDescent="0.45">
      <c r="A8" s="3" t="s">
        <v>156</v>
      </c>
      <c r="B8" s="3" t="s">
        <v>157</v>
      </c>
      <c r="C8" s="5" t="s">
        <v>345</v>
      </c>
      <c r="D8" s="5" t="s">
        <v>286</v>
      </c>
      <c r="E8" s="5" t="s">
        <v>580</v>
      </c>
    </row>
    <row r="9" spans="1:5" x14ac:dyDescent="0.45">
      <c r="A9" s="3" t="s">
        <v>29</v>
      </c>
      <c r="B9" s="3" t="s">
        <v>152</v>
      </c>
      <c r="C9" s="5" t="s">
        <v>345</v>
      </c>
      <c r="D9" s="5" t="s">
        <v>534</v>
      </c>
      <c r="E9" s="5" t="s">
        <v>580</v>
      </c>
    </row>
    <row r="10" spans="1:5" x14ac:dyDescent="0.45">
      <c r="A10" s="3" t="s">
        <v>24</v>
      </c>
      <c r="B10" s="3" t="s">
        <v>153</v>
      </c>
      <c r="C10" s="5" t="s">
        <v>237</v>
      </c>
      <c r="D10" s="5" t="s">
        <v>534</v>
      </c>
      <c r="E10" s="5" t="s">
        <v>580</v>
      </c>
    </row>
    <row r="11" spans="1:5" x14ac:dyDescent="0.45">
      <c r="A11" s="3" t="s">
        <v>136</v>
      </c>
      <c r="B11" s="3" t="s">
        <v>137</v>
      </c>
      <c r="C11" s="5" t="s">
        <v>345</v>
      </c>
      <c r="D11" s="5" t="s">
        <v>286</v>
      </c>
    </row>
    <row r="12" spans="1:5" x14ac:dyDescent="0.45">
      <c r="A12" s="3" t="s">
        <v>94</v>
      </c>
      <c r="B12" s="3" t="s">
        <v>158</v>
      </c>
      <c r="C12" s="5" t="s">
        <v>233</v>
      </c>
      <c r="D12" s="5" t="s">
        <v>286</v>
      </c>
    </row>
    <row r="13" spans="1:5" x14ac:dyDescent="0.45">
      <c r="A13" s="3" t="s">
        <v>70</v>
      </c>
      <c r="B13" s="3" t="s">
        <v>159</v>
      </c>
      <c r="C13" s="5" t="s">
        <v>237</v>
      </c>
      <c r="D13" s="5" t="s">
        <v>286</v>
      </c>
    </row>
    <row r="14" spans="1:5" x14ac:dyDescent="0.45">
      <c r="A14" s="3" t="s">
        <v>35</v>
      </c>
      <c r="B14" s="3" t="s">
        <v>160</v>
      </c>
      <c r="C14" s="5" t="s">
        <v>237</v>
      </c>
      <c r="D14" s="5" t="s">
        <v>534</v>
      </c>
      <c r="E14" s="5" t="s">
        <v>580</v>
      </c>
    </row>
    <row r="15" spans="1:5" x14ac:dyDescent="0.45">
      <c r="A15" s="3" t="s">
        <v>171</v>
      </c>
      <c r="B15" s="3" t="s">
        <v>172</v>
      </c>
      <c r="C15" s="5" t="s">
        <v>345</v>
      </c>
      <c r="D15" s="5" t="s">
        <v>286</v>
      </c>
    </row>
    <row r="16" spans="1:5" x14ac:dyDescent="0.45">
      <c r="A16" s="3" t="s">
        <v>125</v>
      </c>
      <c r="B16" s="3" t="s">
        <v>170</v>
      </c>
      <c r="C16" s="5" t="s">
        <v>377</v>
      </c>
      <c r="D16" s="5" t="s">
        <v>286</v>
      </c>
    </row>
    <row r="17" spans="1:5" x14ac:dyDescent="0.45">
      <c r="A17" s="3" t="s">
        <v>61</v>
      </c>
      <c r="B17" s="3" t="s">
        <v>168</v>
      </c>
      <c r="C17" s="5" t="s">
        <v>455</v>
      </c>
      <c r="D17" s="5" t="s">
        <v>354</v>
      </c>
      <c r="E17" s="5" t="s">
        <v>302</v>
      </c>
    </row>
    <row r="18" spans="1:5" x14ac:dyDescent="0.45">
      <c r="A18" s="3" t="s">
        <v>181</v>
      </c>
      <c r="B18" s="3" t="s">
        <v>182</v>
      </c>
      <c r="C18" s="5" t="s">
        <v>345</v>
      </c>
      <c r="D18" s="5" t="s">
        <v>286</v>
      </c>
      <c r="E18" s="5" t="s">
        <v>580</v>
      </c>
    </row>
    <row r="19" spans="1:5" x14ac:dyDescent="0.45">
      <c r="A19" s="3" t="s">
        <v>59</v>
      </c>
      <c r="B19" s="3" t="s">
        <v>175</v>
      </c>
      <c r="C19" s="5" t="s">
        <v>237</v>
      </c>
      <c r="D19" s="5" t="s">
        <v>534</v>
      </c>
      <c r="E19" s="5" t="s">
        <v>580</v>
      </c>
    </row>
    <row r="20" spans="1:5" x14ac:dyDescent="0.45">
      <c r="A20" s="3" t="s">
        <v>102</v>
      </c>
      <c r="B20" s="3" t="s">
        <v>163</v>
      </c>
      <c r="C20" s="5" t="s">
        <v>237</v>
      </c>
      <c r="D20" s="5" t="s">
        <v>286</v>
      </c>
    </row>
    <row r="21" spans="1:5" x14ac:dyDescent="0.45">
      <c r="A21" s="3" t="s">
        <v>131</v>
      </c>
      <c r="B21" s="3" t="s">
        <v>176</v>
      </c>
      <c r="C21" s="5" t="s">
        <v>345</v>
      </c>
      <c r="D21" s="5" t="s">
        <v>534</v>
      </c>
      <c r="E21" s="5" t="s">
        <v>581</v>
      </c>
    </row>
    <row r="22" spans="1:5" x14ac:dyDescent="0.45">
      <c r="A22" s="3" t="s">
        <v>164</v>
      </c>
      <c r="B22" s="3" t="s">
        <v>165</v>
      </c>
      <c r="C22" s="5" t="s">
        <v>477</v>
      </c>
      <c r="D22" s="5" t="s">
        <v>354</v>
      </c>
      <c r="E22" s="5" t="s">
        <v>302</v>
      </c>
    </row>
    <row r="23" spans="1:5" x14ac:dyDescent="0.45">
      <c r="A23" s="3" t="s">
        <v>177</v>
      </c>
      <c r="B23" s="3" t="s">
        <v>178</v>
      </c>
      <c r="C23" s="5" t="s">
        <v>403</v>
      </c>
      <c r="D23" s="5" t="s">
        <v>286</v>
      </c>
    </row>
    <row r="24" spans="1:5" x14ac:dyDescent="0.45">
      <c r="A24" s="3" t="s">
        <v>185</v>
      </c>
      <c r="B24" s="3" t="s">
        <v>186</v>
      </c>
      <c r="C24" s="5" t="s">
        <v>455</v>
      </c>
      <c r="D24" s="5" t="s">
        <v>354</v>
      </c>
      <c r="E24" s="5" t="s">
        <v>302</v>
      </c>
    </row>
    <row r="25" spans="1:5" x14ac:dyDescent="0.45">
      <c r="A25" s="3" t="s">
        <v>67</v>
      </c>
      <c r="B25" s="3" t="s">
        <v>179</v>
      </c>
      <c r="C25" s="5" t="s">
        <v>345</v>
      </c>
      <c r="D25" s="5" t="s">
        <v>354</v>
      </c>
      <c r="E25" s="5" t="s">
        <v>580</v>
      </c>
    </row>
    <row r="26" spans="1:5" x14ac:dyDescent="0.45">
      <c r="A26" s="3" t="s">
        <v>173</v>
      </c>
      <c r="B26" s="3" t="s">
        <v>174</v>
      </c>
      <c r="C26" s="5" t="s">
        <v>237</v>
      </c>
      <c r="D26" s="5" t="s">
        <v>534</v>
      </c>
      <c r="E26" s="5" t="s">
        <v>580</v>
      </c>
    </row>
    <row r="27" spans="1:5" x14ac:dyDescent="0.45">
      <c r="A27" s="3" t="s">
        <v>120</v>
      </c>
      <c r="B27" s="3" t="s">
        <v>187</v>
      </c>
      <c r="C27" s="5" t="s">
        <v>477</v>
      </c>
      <c r="D27" s="5" t="s">
        <v>534</v>
      </c>
      <c r="E27" s="5" t="s">
        <v>580</v>
      </c>
    </row>
    <row r="28" spans="1:5" x14ac:dyDescent="0.45">
      <c r="A28" s="3" t="s">
        <v>37</v>
      </c>
      <c r="B28" s="3" t="s">
        <v>180</v>
      </c>
      <c r="C28" s="5" t="s">
        <v>345</v>
      </c>
      <c r="D28" s="5" t="s">
        <v>534</v>
      </c>
      <c r="E28" s="5" t="s">
        <v>580</v>
      </c>
    </row>
    <row r="29" spans="1:5" x14ac:dyDescent="0.45">
      <c r="A29" s="3" t="s">
        <v>543</v>
      </c>
      <c r="B29" s="3" t="s">
        <v>544</v>
      </c>
      <c r="C29" s="5" t="s">
        <v>345</v>
      </c>
      <c r="D29" s="5" t="s">
        <v>286</v>
      </c>
    </row>
    <row r="30" spans="1:5" x14ac:dyDescent="0.45">
      <c r="A30" s="3" t="s">
        <v>183</v>
      </c>
      <c r="B30" s="3" t="s">
        <v>184</v>
      </c>
      <c r="C30" s="5" t="s">
        <v>233</v>
      </c>
      <c r="D30" s="5" t="s">
        <v>286</v>
      </c>
    </row>
    <row r="31" spans="1:5" x14ac:dyDescent="0.45">
      <c r="A31" s="3" t="s">
        <v>84</v>
      </c>
      <c r="B31" s="3" t="s">
        <v>169</v>
      </c>
      <c r="C31" s="5" t="s">
        <v>237</v>
      </c>
      <c r="D31" s="5" t="s">
        <v>286</v>
      </c>
      <c r="E31" s="5" t="s">
        <v>580</v>
      </c>
    </row>
    <row r="32" spans="1:5" x14ac:dyDescent="0.45">
      <c r="A32" s="3" t="s">
        <v>166</v>
      </c>
      <c r="B32" s="3" t="s">
        <v>167</v>
      </c>
      <c r="C32" s="5" t="s">
        <v>477</v>
      </c>
      <c r="D32" s="5" t="s">
        <v>349</v>
      </c>
      <c r="E32" s="5" t="s">
        <v>302</v>
      </c>
    </row>
    <row r="33" spans="1:5" x14ac:dyDescent="0.45">
      <c r="A33" s="3" t="s">
        <v>161</v>
      </c>
      <c r="B33" s="3" t="s">
        <v>162</v>
      </c>
      <c r="C33" s="5" t="s">
        <v>477</v>
      </c>
      <c r="D33" s="5" t="s">
        <v>349</v>
      </c>
      <c r="E33" s="5" t="s">
        <v>302</v>
      </c>
    </row>
    <row r="34" spans="1:5" x14ac:dyDescent="0.45">
      <c r="A34" s="3" t="s">
        <v>208</v>
      </c>
      <c r="B34" s="3" t="s">
        <v>209</v>
      </c>
      <c r="C34" s="5" t="s">
        <v>477</v>
      </c>
      <c r="D34" s="4" t="s">
        <v>534</v>
      </c>
      <c r="E34" s="5" t="s">
        <v>581</v>
      </c>
    </row>
    <row r="35" spans="1:5" x14ac:dyDescent="0.45">
      <c r="A35" s="3" t="s">
        <v>117</v>
      </c>
      <c r="B35" s="3" t="s">
        <v>327</v>
      </c>
      <c r="C35" s="5" t="s">
        <v>233</v>
      </c>
      <c r="D35" s="5" t="s">
        <v>354</v>
      </c>
      <c r="E35" s="5" t="s">
        <v>302</v>
      </c>
    </row>
    <row r="36" spans="1:5" x14ac:dyDescent="0.45">
      <c r="A36" s="3" t="s">
        <v>12</v>
      </c>
      <c r="B36" s="3" t="s">
        <v>200</v>
      </c>
      <c r="C36" s="5" t="s">
        <v>477</v>
      </c>
      <c r="D36" s="5" t="s">
        <v>354</v>
      </c>
      <c r="E36" s="5" t="s">
        <v>581</v>
      </c>
    </row>
    <row r="37" spans="1:5" x14ac:dyDescent="0.45">
      <c r="A37" s="3" t="s">
        <v>81</v>
      </c>
      <c r="B37" s="3" t="s">
        <v>190</v>
      </c>
      <c r="C37" s="5" t="s">
        <v>403</v>
      </c>
      <c r="D37" s="5" t="s">
        <v>286</v>
      </c>
    </row>
    <row r="38" spans="1:5" x14ac:dyDescent="0.45">
      <c r="A38" s="3" t="s">
        <v>216</v>
      </c>
      <c r="B38" s="3" t="s">
        <v>217</v>
      </c>
      <c r="C38" s="5" t="s">
        <v>345</v>
      </c>
      <c r="D38" s="5" t="s">
        <v>286</v>
      </c>
    </row>
    <row r="39" spans="1:5" x14ac:dyDescent="0.45">
      <c r="A39" s="3" t="s">
        <v>188</v>
      </c>
      <c r="B39" s="3" t="s">
        <v>189</v>
      </c>
      <c r="C39" s="5" t="s">
        <v>477</v>
      </c>
      <c r="D39" s="5" t="s">
        <v>349</v>
      </c>
      <c r="E39" s="5" t="s">
        <v>302</v>
      </c>
    </row>
    <row r="40" spans="1:5" x14ac:dyDescent="0.45">
      <c r="A40" s="3" t="s">
        <v>499</v>
      </c>
      <c r="B40" s="3" t="s">
        <v>500</v>
      </c>
      <c r="C40" s="5" t="s">
        <v>477</v>
      </c>
      <c r="D40" s="5" t="s">
        <v>349</v>
      </c>
      <c r="E40" s="5" t="s">
        <v>302</v>
      </c>
    </row>
    <row r="41" spans="1:5" x14ac:dyDescent="0.45">
      <c r="A41" s="3" t="s">
        <v>194</v>
      </c>
      <c r="B41" s="3" t="s">
        <v>195</v>
      </c>
      <c r="C41" s="5" t="s">
        <v>237</v>
      </c>
      <c r="D41" s="5" t="s">
        <v>286</v>
      </c>
    </row>
    <row r="42" spans="1:5" x14ac:dyDescent="0.45">
      <c r="A42" s="3" t="s">
        <v>34</v>
      </c>
      <c r="B42" s="3" t="s">
        <v>196</v>
      </c>
      <c r="C42" s="5" t="s">
        <v>345</v>
      </c>
      <c r="D42" s="5" t="s">
        <v>286</v>
      </c>
      <c r="E42" s="5" t="s">
        <v>580</v>
      </c>
    </row>
    <row r="43" spans="1:5" x14ac:dyDescent="0.45">
      <c r="A43" s="3" t="s">
        <v>16</v>
      </c>
      <c r="B43" s="3" t="s">
        <v>197</v>
      </c>
      <c r="C43" s="5" t="s">
        <v>233</v>
      </c>
      <c r="D43" s="5" t="s">
        <v>534</v>
      </c>
      <c r="E43" s="5" t="s">
        <v>580</v>
      </c>
    </row>
    <row r="44" spans="1:5" x14ac:dyDescent="0.45">
      <c r="A44" s="3" t="s">
        <v>28</v>
      </c>
      <c r="B44" s="3" t="s">
        <v>205</v>
      </c>
      <c r="C44" s="5" t="s">
        <v>345</v>
      </c>
      <c r="D44" s="5" t="s">
        <v>534</v>
      </c>
      <c r="E44" s="5" t="s">
        <v>580</v>
      </c>
    </row>
    <row r="45" spans="1:5" x14ac:dyDescent="0.45">
      <c r="A45" s="3" t="s">
        <v>206</v>
      </c>
      <c r="B45" s="3" t="s">
        <v>207</v>
      </c>
      <c r="C45" s="5" t="s">
        <v>477</v>
      </c>
      <c r="D45" s="5" t="s">
        <v>354</v>
      </c>
      <c r="E45" s="5" t="s">
        <v>302</v>
      </c>
    </row>
    <row r="46" spans="1:5" x14ac:dyDescent="0.45">
      <c r="A46" s="3" t="s">
        <v>201</v>
      </c>
      <c r="B46" s="3" t="s">
        <v>202</v>
      </c>
      <c r="C46" s="5" t="s">
        <v>477</v>
      </c>
      <c r="D46" s="5" t="s">
        <v>349</v>
      </c>
      <c r="E46" s="5" t="s">
        <v>302</v>
      </c>
    </row>
    <row r="47" spans="1:5" x14ac:dyDescent="0.45">
      <c r="A47" s="3" t="s">
        <v>203</v>
      </c>
      <c r="B47" s="3" t="s">
        <v>204</v>
      </c>
      <c r="C47" s="5" t="s">
        <v>477</v>
      </c>
      <c r="D47" s="5" t="s">
        <v>354</v>
      </c>
      <c r="E47" s="5" t="s">
        <v>581</v>
      </c>
    </row>
    <row r="48" spans="1:5" x14ac:dyDescent="0.45">
      <c r="A48" s="3" t="s">
        <v>79</v>
      </c>
      <c r="B48" s="3" t="s">
        <v>210</v>
      </c>
      <c r="C48" s="5" t="s">
        <v>345</v>
      </c>
      <c r="D48" s="4" t="s">
        <v>286</v>
      </c>
      <c r="E48" s="5" t="s">
        <v>580</v>
      </c>
    </row>
    <row r="49" spans="1:5" x14ac:dyDescent="0.45">
      <c r="A49" s="3" t="s">
        <v>582</v>
      </c>
      <c r="B49" s="3" t="s">
        <v>199</v>
      </c>
      <c r="C49" s="5" t="s">
        <v>477</v>
      </c>
      <c r="D49" s="5" t="s">
        <v>354</v>
      </c>
      <c r="E49" s="4" t="s">
        <v>581</v>
      </c>
    </row>
    <row r="50" spans="1:5" x14ac:dyDescent="0.45">
      <c r="A50" s="3" t="s">
        <v>60</v>
      </c>
      <c r="B50" s="3" t="s">
        <v>293</v>
      </c>
      <c r="C50" s="5" t="s">
        <v>237</v>
      </c>
      <c r="D50" s="5" t="s">
        <v>286</v>
      </c>
      <c r="E50" s="5" t="s">
        <v>580</v>
      </c>
    </row>
    <row r="51" spans="1:5" x14ac:dyDescent="0.45">
      <c r="A51" s="3" t="s">
        <v>10</v>
      </c>
      <c r="B51" s="3" t="s">
        <v>213</v>
      </c>
      <c r="C51" s="5" t="s">
        <v>345</v>
      </c>
      <c r="D51" s="5" t="s">
        <v>534</v>
      </c>
    </row>
    <row r="52" spans="1:5" x14ac:dyDescent="0.45">
      <c r="A52" s="3" t="s">
        <v>583</v>
      </c>
      <c r="B52" s="3" t="s">
        <v>215</v>
      </c>
      <c r="C52" s="5" t="s">
        <v>345</v>
      </c>
      <c r="D52" s="5" t="s">
        <v>286</v>
      </c>
    </row>
    <row r="53" spans="1:5" x14ac:dyDescent="0.45">
      <c r="A53" s="3" t="s">
        <v>93</v>
      </c>
      <c r="B53" s="3" t="s">
        <v>218</v>
      </c>
      <c r="C53" s="5" t="s">
        <v>237</v>
      </c>
      <c r="D53" s="5" t="s">
        <v>286</v>
      </c>
    </row>
    <row r="54" spans="1:5" x14ac:dyDescent="0.45">
      <c r="A54" s="3" t="s">
        <v>219</v>
      </c>
      <c r="B54" s="3" t="s">
        <v>220</v>
      </c>
      <c r="C54" s="5" t="s">
        <v>237</v>
      </c>
      <c r="D54" s="5" t="s">
        <v>286</v>
      </c>
    </row>
    <row r="55" spans="1:5" x14ac:dyDescent="0.45">
      <c r="A55" s="3" t="s">
        <v>106</v>
      </c>
      <c r="B55" s="3" t="s">
        <v>226</v>
      </c>
      <c r="C55" s="5" t="s">
        <v>237</v>
      </c>
      <c r="D55" s="5" t="s">
        <v>286</v>
      </c>
    </row>
    <row r="56" spans="1:5" x14ac:dyDescent="0.45">
      <c r="A56" s="3" t="s">
        <v>222</v>
      </c>
      <c r="B56" s="3" t="s">
        <v>223</v>
      </c>
      <c r="C56" s="5" t="s">
        <v>377</v>
      </c>
      <c r="D56" s="5" t="s">
        <v>354</v>
      </c>
      <c r="E56" s="5" t="s">
        <v>302</v>
      </c>
    </row>
    <row r="57" spans="1:5" x14ac:dyDescent="0.45">
      <c r="A57" s="3" t="s">
        <v>224</v>
      </c>
      <c r="B57" s="3" t="s">
        <v>225</v>
      </c>
      <c r="C57" s="5" t="s">
        <v>345</v>
      </c>
      <c r="D57" s="5" t="s">
        <v>534</v>
      </c>
      <c r="E57" s="5" t="s">
        <v>581</v>
      </c>
    </row>
    <row r="58" spans="1:5" x14ac:dyDescent="0.45">
      <c r="A58" s="3" t="s">
        <v>32</v>
      </c>
      <c r="B58" s="3" t="s">
        <v>227</v>
      </c>
      <c r="C58" s="5" t="s">
        <v>345</v>
      </c>
      <c r="D58" s="5" t="s">
        <v>534</v>
      </c>
      <c r="E58" s="5" t="s">
        <v>580</v>
      </c>
    </row>
    <row r="59" spans="1:5" x14ac:dyDescent="0.45">
      <c r="A59" s="3" t="s">
        <v>68</v>
      </c>
      <c r="B59" s="3" t="s">
        <v>239</v>
      </c>
      <c r="C59" s="5" t="s">
        <v>345</v>
      </c>
      <c r="D59" s="5" t="s">
        <v>534</v>
      </c>
      <c r="E59" s="5" t="s">
        <v>580</v>
      </c>
    </row>
    <row r="60" spans="1:5" x14ac:dyDescent="0.45">
      <c r="A60" s="3" t="s">
        <v>240</v>
      </c>
      <c r="B60" s="3" t="s">
        <v>241</v>
      </c>
      <c r="C60" s="5" t="s">
        <v>377</v>
      </c>
      <c r="D60" s="5" t="s">
        <v>354</v>
      </c>
      <c r="E60" s="5" t="s">
        <v>580</v>
      </c>
    </row>
    <row r="61" spans="1:5" x14ac:dyDescent="0.45">
      <c r="A61" s="3" t="s">
        <v>30</v>
      </c>
      <c r="B61" s="3" t="s">
        <v>467</v>
      </c>
      <c r="C61" s="5" t="s">
        <v>345</v>
      </c>
      <c r="D61" s="5" t="s">
        <v>534</v>
      </c>
      <c r="E61" s="5" t="s">
        <v>580</v>
      </c>
    </row>
    <row r="62" spans="1:5" x14ac:dyDescent="0.45">
      <c r="A62" s="3" t="s">
        <v>274</v>
      </c>
      <c r="B62" s="3" t="s">
        <v>275</v>
      </c>
      <c r="C62" s="5" t="s">
        <v>477</v>
      </c>
      <c r="D62" s="5" t="s">
        <v>534</v>
      </c>
      <c r="E62" s="5" t="s">
        <v>580</v>
      </c>
    </row>
    <row r="63" spans="1:5" x14ac:dyDescent="0.45">
      <c r="A63" s="3" t="s">
        <v>244</v>
      </c>
      <c r="B63" s="3" t="s">
        <v>245</v>
      </c>
      <c r="C63" s="5" t="s">
        <v>477</v>
      </c>
      <c r="D63" s="5" t="s">
        <v>349</v>
      </c>
      <c r="E63" s="5" t="s">
        <v>302</v>
      </c>
    </row>
    <row r="64" spans="1:5" x14ac:dyDescent="0.45">
      <c r="A64" s="3" t="s">
        <v>71</v>
      </c>
      <c r="B64" s="3" t="s">
        <v>247</v>
      </c>
      <c r="C64" s="5" t="s">
        <v>237</v>
      </c>
      <c r="D64" s="5" t="s">
        <v>286</v>
      </c>
    </row>
    <row r="65" spans="1:5" x14ac:dyDescent="0.45">
      <c r="A65" s="3" t="s">
        <v>489</v>
      </c>
      <c r="B65" s="3" t="s">
        <v>490</v>
      </c>
      <c r="C65" s="5" t="s">
        <v>477</v>
      </c>
      <c r="D65" s="5" t="s">
        <v>354</v>
      </c>
      <c r="E65" s="5" t="s">
        <v>581</v>
      </c>
    </row>
    <row r="66" spans="1:5" x14ac:dyDescent="0.45">
      <c r="A66" s="3" t="s">
        <v>11</v>
      </c>
      <c r="B66" s="3" t="s">
        <v>248</v>
      </c>
      <c r="C66" s="5" t="s">
        <v>477</v>
      </c>
      <c r="D66" s="4"/>
      <c r="E66" s="5" t="s">
        <v>302</v>
      </c>
    </row>
    <row r="67" spans="1:5" x14ac:dyDescent="0.45">
      <c r="A67" s="3" t="s">
        <v>257</v>
      </c>
      <c r="B67" s="3" t="s">
        <v>258</v>
      </c>
      <c r="C67" s="5" t="s">
        <v>237</v>
      </c>
      <c r="D67" s="5" t="s">
        <v>286</v>
      </c>
    </row>
    <row r="68" spans="1:5" x14ac:dyDescent="0.45">
      <c r="A68" s="3" t="s">
        <v>254</v>
      </c>
      <c r="B68" s="3" t="s">
        <v>255</v>
      </c>
      <c r="C68" s="5" t="s">
        <v>233</v>
      </c>
      <c r="D68" s="5" t="s">
        <v>534</v>
      </c>
      <c r="E68" s="5" t="s">
        <v>581</v>
      </c>
    </row>
    <row r="69" spans="1:5" x14ac:dyDescent="0.45">
      <c r="A69" s="3" t="s">
        <v>95</v>
      </c>
      <c r="B69" s="3" t="s">
        <v>253</v>
      </c>
      <c r="C69" s="5" t="s">
        <v>237</v>
      </c>
      <c r="D69" s="5" t="s">
        <v>286</v>
      </c>
    </row>
    <row r="70" spans="1:5" x14ac:dyDescent="0.45">
      <c r="A70" s="3" t="s">
        <v>80</v>
      </c>
      <c r="B70" s="3" t="s">
        <v>256</v>
      </c>
      <c r="C70" s="5" t="s">
        <v>237</v>
      </c>
      <c r="D70" s="5" t="s">
        <v>286</v>
      </c>
    </row>
    <row r="71" spans="1:5" x14ac:dyDescent="0.45">
      <c r="A71" s="3" t="s">
        <v>447</v>
      </c>
      <c r="B71" s="3" t="s">
        <v>448</v>
      </c>
      <c r="C71" s="5" t="s">
        <v>233</v>
      </c>
      <c r="D71" s="5" t="s">
        <v>286</v>
      </c>
    </row>
    <row r="72" spans="1:5" x14ac:dyDescent="0.45">
      <c r="A72" s="3" t="s">
        <v>261</v>
      </c>
      <c r="B72" s="3" t="s">
        <v>262</v>
      </c>
      <c r="C72" s="5" t="s">
        <v>477</v>
      </c>
      <c r="D72" s="5" t="s">
        <v>534</v>
      </c>
      <c r="E72" s="5" t="s">
        <v>580</v>
      </c>
    </row>
    <row r="73" spans="1:5" x14ac:dyDescent="0.45">
      <c r="A73" s="3" t="s">
        <v>270</v>
      </c>
      <c r="B73" s="3" t="s">
        <v>271</v>
      </c>
      <c r="C73" s="5" t="s">
        <v>477</v>
      </c>
      <c r="D73" s="5" t="s">
        <v>349</v>
      </c>
      <c r="E73" s="5" t="s">
        <v>302</v>
      </c>
    </row>
    <row r="74" spans="1:5" x14ac:dyDescent="0.45">
      <c r="A74" s="3" t="s">
        <v>62</v>
      </c>
      <c r="B74" s="3" t="s">
        <v>264</v>
      </c>
      <c r="C74" s="5" t="s">
        <v>237</v>
      </c>
      <c r="D74" s="5" t="s">
        <v>534</v>
      </c>
      <c r="E74" s="5" t="s">
        <v>580</v>
      </c>
    </row>
    <row r="75" spans="1:5" x14ac:dyDescent="0.45">
      <c r="A75" s="3" t="s">
        <v>85</v>
      </c>
      <c r="B75" s="3" t="s">
        <v>221</v>
      </c>
      <c r="C75" s="5" t="s">
        <v>237</v>
      </c>
      <c r="D75" s="5" t="s">
        <v>286</v>
      </c>
    </row>
    <row r="76" spans="1:5" x14ac:dyDescent="0.45">
      <c r="A76" s="3" t="s">
        <v>116</v>
      </c>
      <c r="B76" s="3" t="s">
        <v>265</v>
      </c>
      <c r="C76" s="5" t="s">
        <v>477</v>
      </c>
      <c r="D76" s="5" t="s">
        <v>354</v>
      </c>
      <c r="E76" s="5" t="s">
        <v>302</v>
      </c>
    </row>
    <row r="77" spans="1:5" x14ac:dyDescent="0.45">
      <c r="A77" s="3" t="s">
        <v>266</v>
      </c>
      <c r="B77" s="3" t="s">
        <v>267</v>
      </c>
      <c r="C77" s="5" t="s">
        <v>237</v>
      </c>
      <c r="D77" s="5" t="s">
        <v>286</v>
      </c>
    </row>
    <row r="78" spans="1:5" x14ac:dyDescent="0.45">
      <c r="A78" s="3" t="s">
        <v>57</v>
      </c>
      <c r="B78" s="3" t="s">
        <v>276</v>
      </c>
      <c r="C78" s="5" t="s">
        <v>237</v>
      </c>
      <c r="D78" s="5" t="s">
        <v>286</v>
      </c>
    </row>
    <row r="79" spans="1:5" x14ac:dyDescent="0.45">
      <c r="A79" s="3" t="s">
        <v>279</v>
      </c>
      <c r="B79" s="3" t="s">
        <v>280</v>
      </c>
      <c r="C79" s="5" t="s">
        <v>237</v>
      </c>
      <c r="D79" s="5" t="s">
        <v>286</v>
      </c>
    </row>
    <row r="80" spans="1:5" x14ac:dyDescent="0.45">
      <c r="A80" s="3" t="s">
        <v>277</v>
      </c>
      <c r="B80" s="3" t="s">
        <v>278</v>
      </c>
      <c r="C80" s="5" t="s">
        <v>345</v>
      </c>
      <c r="D80" s="5" t="s">
        <v>534</v>
      </c>
      <c r="E80" s="5" t="s">
        <v>581</v>
      </c>
    </row>
    <row r="81" spans="1:5" x14ac:dyDescent="0.45">
      <c r="A81" s="3" t="s">
        <v>282</v>
      </c>
      <c r="B81" s="3" t="s">
        <v>283</v>
      </c>
      <c r="C81" s="5" t="s">
        <v>233</v>
      </c>
      <c r="D81" s="5" t="s">
        <v>286</v>
      </c>
    </row>
    <row r="82" spans="1:5" x14ac:dyDescent="0.45">
      <c r="A82" s="3" t="s">
        <v>124</v>
      </c>
      <c r="B82" s="3" t="s">
        <v>281</v>
      </c>
      <c r="C82" s="5" t="s">
        <v>345</v>
      </c>
      <c r="D82" s="5" t="s">
        <v>534</v>
      </c>
      <c r="E82" s="5" t="s">
        <v>580</v>
      </c>
    </row>
    <row r="83" spans="1:5" x14ac:dyDescent="0.45">
      <c r="A83" s="3" t="s">
        <v>268</v>
      </c>
      <c r="B83" s="3" t="s">
        <v>269</v>
      </c>
      <c r="C83" s="5" t="s">
        <v>477</v>
      </c>
      <c r="D83" s="5" t="s">
        <v>354</v>
      </c>
      <c r="E83" s="5" t="s">
        <v>302</v>
      </c>
    </row>
    <row r="84" spans="1:5" x14ac:dyDescent="0.45">
      <c r="A84" s="3" t="s">
        <v>272</v>
      </c>
      <c r="B84" s="3" t="s">
        <v>273</v>
      </c>
      <c r="C84" s="5" t="s">
        <v>477</v>
      </c>
      <c r="D84" s="5" t="s">
        <v>349</v>
      </c>
      <c r="E84" s="5" t="s">
        <v>302</v>
      </c>
    </row>
    <row r="85" spans="1:5" x14ac:dyDescent="0.45">
      <c r="A85" s="3" t="s">
        <v>284</v>
      </c>
      <c r="B85" s="3" t="s">
        <v>285</v>
      </c>
      <c r="C85" s="5" t="s">
        <v>345</v>
      </c>
      <c r="D85" s="5" t="s">
        <v>286</v>
      </c>
      <c r="E85" s="5" t="s">
        <v>302</v>
      </c>
    </row>
    <row r="86" spans="1:5" x14ac:dyDescent="0.45">
      <c r="A86" s="3" t="s">
        <v>294</v>
      </c>
      <c r="B86" s="3" t="s">
        <v>295</v>
      </c>
      <c r="C86" s="5" t="s">
        <v>345</v>
      </c>
      <c r="D86" s="5" t="s">
        <v>354</v>
      </c>
      <c r="E86" s="5" t="s">
        <v>302</v>
      </c>
    </row>
    <row r="87" spans="1:5" x14ac:dyDescent="0.45">
      <c r="A87" s="3" t="s">
        <v>132</v>
      </c>
      <c r="B87" s="3" t="s">
        <v>290</v>
      </c>
      <c r="C87" s="5" t="s">
        <v>345</v>
      </c>
      <c r="D87" s="5" t="s">
        <v>354</v>
      </c>
      <c r="E87" s="5" t="s">
        <v>302</v>
      </c>
    </row>
    <row r="88" spans="1:5" x14ac:dyDescent="0.45">
      <c r="A88" s="3" t="s">
        <v>288</v>
      </c>
      <c r="B88" s="3" t="s">
        <v>289</v>
      </c>
      <c r="C88" s="5" t="s">
        <v>233</v>
      </c>
      <c r="D88" s="5" t="s">
        <v>286</v>
      </c>
    </row>
    <row r="89" spans="1:5" x14ac:dyDescent="0.45">
      <c r="A89" s="3" t="s">
        <v>56</v>
      </c>
      <c r="B89" s="3" t="s">
        <v>296</v>
      </c>
      <c r="C89" s="5" t="s">
        <v>237</v>
      </c>
      <c r="D89" s="5" t="s">
        <v>286</v>
      </c>
    </row>
    <row r="90" spans="1:5" x14ac:dyDescent="0.45">
      <c r="A90" s="3" t="s">
        <v>104</v>
      </c>
      <c r="B90" s="3" t="s">
        <v>317</v>
      </c>
      <c r="C90" s="5" t="s">
        <v>237</v>
      </c>
      <c r="D90" s="5" t="s">
        <v>286</v>
      </c>
    </row>
    <row r="91" spans="1:5" x14ac:dyDescent="0.45">
      <c r="A91" s="3" t="s">
        <v>76</v>
      </c>
      <c r="B91" s="3" t="s">
        <v>310</v>
      </c>
      <c r="C91" s="5" t="s">
        <v>455</v>
      </c>
      <c r="D91" s="5" t="s">
        <v>354</v>
      </c>
      <c r="E91" s="5" t="s">
        <v>580</v>
      </c>
    </row>
    <row r="92" spans="1:5" x14ac:dyDescent="0.45">
      <c r="A92" s="3" t="s">
        <v>40</v>
      </c>
      <c r="B92" s="3" t="s">
        <v>305</v>
      </c>
      <c r="C92" s="5" t="s">
        <v>233</v>
      </c>
      <c r="D92" s="5" t="s">
        <v>534</v>
      </c>
      <c r="E92" s="5" t="s">
        <v>580</v>
      </c>
    </row>
    <row r="93" spans="1:5" x14ac:dyDescent="0.45">
      <c r="A93" s="3" t="s">
        <v>314</v>
      </c>
      <c r="B93" s="3" t="s">
        <v>315</v>
      </c>
      <c r="C93" s="5" t="s">
        <v>377</v>
      </c>
      <c r="D93" s="5" t="s">
        <v>534</v>
      </c>
      <c r="E93" s="5" t="s">
        <v>580</v>
      </c>
    </row>
    <row r="94" spans="1:5" x14ac:dyDescent="0.45">
      <c r="A94" s="3" t="s">
        <v>91</v>
      </c>
      <c r="B94" s="3" t="s">
        <v>316</v>
      </c>
      <c r="C94" s="5" t="s">
        <v>377</v>
      </c>
      <c r="D94" s="5" t="s">
        <v>534</v>
      </c>
      <c r="E94" s="5" t="s">
        <v>580</v>
      </c>
    </row>
    <row r="95" spans="1:5" x14ac:dyDescent="0.45">
      <c r="A95" s="3" t="s">
        <v>103</v>
      </c>
      <c r="B95" s="3" t="s">
        <v>313</v>
      </c>
      <c r="C95" s="5" t="s">
        <v>237</v>
      </c>
      <c r="D95" s="5" t="s">
        <v>286</v>
      </c>
    </row>
    <row r="96" spans="1:5" x14ac:dyDescent="0.45">
      <c r="A96" s="3" t="s">
        <v>308</v>
      </c>
      <c r="B96" s="3" t="s">
        <v>309</v>
      </c>
      <c r="C96" s="5" t="s">
        <v>237</v>
      </c>
      <c r="D96" s="5" t="s">
        <v>286</v>
      </c>
    </row>
    <row r="97" spans="1:5" x14ac:dyDescent="0.45">
      <c r="A97" s="3" t="s">
        <v>46</v>
      </c>
      <c r="B97" s="3" t="s">
        <v>318</v>
      </c>
      <c r="C97" s="5" t="s">
        <v>377</v>
      </c>
      <c r="D97" s="5" t="s">
        <v>286</v>
      </c>
    </row>
    <row r="98" spans="1:5" x14ac:dyDescent="0.45">
      <c r="A98" s="3" t="s">
        <v>83</v>
      </c>
      <c r="B98" s="3" t="s">
        <v>319</v>
      </c>
      <c r="C98" s="5" t="s">
        <v>237</v>
      </c>
      <c r="D98" s="5" t="s">
        <v>286</v>
      </c>
    </row>
    <row r="99" spans="1:5" x14ac:dyDescent="0.45">
      <c r="A99" s="3" t="s">
        <v>129</v>
      </c>
      <c r="B99" s="3" t="s">
        <v>320</v>
      </c>
      <c r="C99" s="5" t="s">
        <v>345</v>
      </c>
      <c r="D99" s="5" t="s">
        <v>534</v>
      </c>
      <c r="E99" s="5" t="s">
        <v>580</v>
      </c>
    </row>
    <row r="100" spans="1:5" x14ac:dyDescent="0.45">
      <c r="A100" s="3" t="s">
        <v>66</v>
      </c>
      <c r="B100" s="3" t="s">
        <v>322</v>
      </c>
      <c r="C100" s="5" t="s">
        <v>233</v>
      </c>
      <c r="D100" s="5" t="s">
        <v>286</v>
      </c>
    </row>
    <row r="101" spans="1:5" x14ac:dyDescent="0.45">
      <c r="A101" s="3" t="s">
        <v>101</v>
      </c>
      <c r="B101" s="3" t="s">
        <v>321</v>
      </c>
      <c r="C101" s="5" t="s">
        <v>377</v>
      </c>
      <c r="D101" s="5" t="s">
        <v>354</v>
      </c>
      <c r="E101" s="5" t="s">
        <v>580</v>
      </c>
    </row>
    <row r="102" spans="1:5" x14ac:dyDescent="0.45">
      <c r="A102" s="3" t="s">
        <v>82</v>
      </c>
      <c r="B102" s="3" t="s">
        <v>323</v>
      </c>
      <c r="C102" s="5" t="s">
        <v>237</v>
      </c>
      <c r="D102" s="5" t="s">
        <v>534</v>
      </c>
      <c r="E102" s="5" t="s">
        <v>580</v>
      </c>
    </row>
    <row r="103" spans="1:5" x14ac:dyDescent="0.45">
      <c r="A103" s="3" t="s">
        <v>118</v>
      </c>
      <c r="B103" s="3" t="s">
        <v>324</v>
      </c>
      <c r="C103" s="5" t="s">
        <v>477</v>
      </c>
      <c r="D103" s="5" t="s">
        <v>354</v>
      </c>
      <c r="E103" s="5" t="s">
        <v>581</v>
      </c>
    </row>
    <row r="104" spans="1:5" x14ac:dyDescent="0.45">
      <c r="A104" s="3" t="s">
        <v>328</v>
      </c>
      <c r="B104" s="3" t="s">
        <v>329</v>
      </c>
      <c r="C104" s="5" t="s">
        <v>233</v>
      </c>
      <c r="D104" s="5" t="s">
        <v>354</v>
      </c>
      <c r="E104" s="5" t="s">
        <v>302</v>
      </c>
    </row>
    <row r="105" spans="1:5" x14ac:dyDescent="0.45">
      <c r="A105" s="3" t="s">
        <v>436</v>
      </c>
      <c r="B105" s="3" t="s">
        <v>437</v>
      </c>
      <c r="C105" s="5" t="s">
        <v>233</v>
      </c>
      <c r="D105" s="5" t="s">
        <v>349</v>
      </c>
    </row>
    <row r="106" spans="1:5" x14ac:dyDescent="0.45">
      <c r="A106" s="3" t="s">
        <v>332</v>
      </c>
      <c r="B106" s="3" t="s">
        <v>333</v>
      </c>
      <c r="C106" s="5" t="s">
        <v>233</v>
      </c>
      <c r="D106" s="5" t="s">
        <v>286</v>
      </c>
    </row>
    <row r="107" spans="1:5" x14ac:dyDescent="0.45">
      <c r="A107" s="3" t="s">
        <v>555</v>
      </c>
      <c r="B107" s="3" t="s">
        <v>556</v>
      </c>
      <c r="C107" s="5" t="s">
        <v>237</v>
      </c>
      <c r="D107" s="5" t="s">
        <v>534</v>
      </c>
      <c r="E107" s="5" t="s">
        <v>302</v>
      </c>
    </row>
    <row r="108" spans="1:5" x14ac:dyDescent="0.45">
      <c r="A108" s="3" t="s">
        <v>99</v>
      </c>
      <c r="B108" s="3" t="s">
        <v>334</v>
      </c>
      <c r="C108" s="5" t="s">
        <v>377</v>
      </c>
      <c r="D108" s="5" t="s">
        <v>286</v>
      </c>
    </row>
    <row r="109" spans="1:5" x14ac:dyDescent="0.45">
      <c r="A109" s="3" t="s">
        <v>325</v>
      </c>
      <c r="B109" s="3" t="s">
        <v>326</v>
      </c>
      <c r="C109" s="5" t="s">
        <v>237</v>
      </c>
      <c r="D109" s="5" t="s">
        <v>354</v>
      </c>
      <c r="E109" s="5" t="s">
        <v>302</v>
      </c>
    </row>
    <row r="110" spans="1:5" x14ac:dyDescent="0.45">
      <c r="A110" s="3" t="s">
        <v>337</v>
      </c>
      <c r="B110" s="3" t="s">
        <v>338</v>
      </c>
      <c r="C110" s="5" t="s">
        <v>233</v>
      </c>
      <c r="D110" s="5" t="s">
        <v>354</v>
      </c>
      <c r="E110" s="5" t="s">
        <v>302</v>
      </c>
    </row>
    <row r="111" spans="1:5" x14ac:dyDescent="0.45">
      <c r="A111" s="3" t="s">
        <v>89</v>
      </c>
      <c r="B111" s="3" t="s">
        <v>364</v>
      </c>
      <c r="C111" s="5" t="s">
        <v>237</v>
      </c>
      <c r="D111" s="5" t="s">
        <v>286</v>
      </c>
    </row>
    <row r="112" spans="1:5" x14ac:dyDescent="0.45">
      <c r="A112" s="3" t="s">
        <v>39</v>
      </c>
      <c r="B112" s="3" t="s">
        <v>339</v>
      </c>
      <c r="C112" s="5" t="s">
        <v>377</v>
      </c>
      <c r="D112" s="5" t="s">
        <v>354</v>
      </c>
      <c r="E112" s="5" t="s">
        <v>580</v>
      </c>
    </row>
    <row r="113" spans="1:5" x14ac:dyDescent="0.45">
      <c r="A113" s="3" t="s">
        <v>358</v>
      </c>
      <c r="B113" s="3" t="s">
        <v>359</v>
      </c>
      <c r="C113" s="5" t="s">
        <v>477</v>
      </c>
      <c r="D113" s="5" t="s">
        <v>354</v>
      </c>
      <c r="E113" s="5" t="s">
        <v>302</v>
      </c>
    </row>
    <row r="114" spans="1:5" x14ac:dyDescent="0.45">
      <c r="A114" s="3" t="s">
        <v>340</v>
      </c>
      <c r="B114" s="3" t="s">
        <v>341</v>
      </c>
      <c r="C114" s="5" t="s">
        <v>477</v>
      </c>
      <c r="D114" s="5" t="s">
        <v>349</v>
      </c>
      <c r="E114" s="5" t="s">
        <v>302</v>
      </c>
    </row>
    <row r="115" spans="1:5" x14ac:dyDescent="0.45">
      <c r="A115" s="3" t="s">
        <v>127</v>
      </c>
      <c r="B115" s="3" t="s">
        <v>342</v>
      </c>
      <c r="C115" s="5" t="s">
        <v>377</v>
      </c>
      <c r="D115" s="5" t="s">
        <v>534</v>
      </c>
      <c r="E115" s="5" t="s">
        <v>580</v>
      </c>
    </row>
    <row r="116" spans="1:5" x14ac:dyDescent="0.45">
      <c r="A116" s="3" t="s">
        <v>351</v>
      </c>
      <c r="B116" s="3" t="s">
        <v>352</v>
      </c>
      <c r="C116" s="5" t="s">
        <v>237</v>
      </c>
      <c r="D116" s="5" t="s">
        <v>286</v>
      </c>
    </row>
    <row r="117" spans="1:5" x14ac:dyDescent="0.45">
      <c r="A117" s="3" t="s">
        <v>63</v>
      </c>
      <c r="B117" s="3" t="s">
        <v>362</v>
      </c>
      <c r="C117" s="5" t="s">
        <v>237</v>
      </c>
      <c r="D117" s="5" t="s">
        <v>286</v>
      </c>
    </row>
    <row r="118" spans="1:5" x14ac:dyDescent="0.45">
      <c r="A118" s="3" t="s">
        <v>88</v>
      </c>
      <c r="B118" s="3" t="s">
        <v>363</v>
      </c>
      <c r="C118" s="5" t="s">
        <v>237</v>
      </c>
      <c r="D118" s="5" t="s">
        <v>286</v>
      </c>
    </row>
    <row r="119" spans="1:5" x14ac:dyDescent="0.45">
      <c r="A119" s="3" t="s">
        <v>365</v>
      </c>
      <c r="B119" s="3" t="s">
        <v>366</v>
      </c>
      <c r="C119" s="5" t="s">
        <v>233</v>
      </c>
      <c r="D119" s="5" t="s">
        <v>286</v>
      </c>
    </row>
    <row r="120" spans="1:5" x14ac:dyDescent="0.45">
      <c r="A120" s="3" t="s">
        <v>373</v>
      </c>
      <c r="B120" s="3" t="s">
        <v>374</v>
      </c>
      <c r="C120" s="5" t="s">
        <v>477</v>
      </c>
      <c r="D120" s="5" t="s">
        <v>349</v>
      </c>
      <c r="E120" s="5" t="s">
        <v>302</v>
      </c>
    </row>
    <row r="121" spans="1:5" x14ac:dyDescent="0.45">
      <c r="A121" s="3" t="s">
        <v>400</v>
      </c>
      <c r="B121" s="3" t="s">
        <v>401</v>
      </c>
      <c r="C121" s="5" t="s">
        <v>477</v>
      </c>
      <c r="D121" s="5" t="s">
        <v>349</v>
      </c>
      <c r="E121" s="5" t="s">
        <v>302</v>
      </c>
    </row>
    <row r="122" spans="1:5" x14ac:dyDescent="0.45">
      <c r="A122" s="3" t="s">
        <v>87</v>
      </c>
      <c r="B122" s="3" t="s">
        <v>402</v>
      </c>
      <c r="C122" s="5" t="s">
        <v>233</v>
      </c>
      <c r="D122" s="5" t="s">
        <v>534</v>
      </c>
      <c r="E122" s="5" t="s">
        <v>580</v>
      </c>
    </row>
    <row r="123" spans="1:5" x14ac:dyDescent="0.45">
      <c r="A123" s="3" t="s">
        <v>375</v>
      </c>
      <c r="B123" s="3" t="s">
        <v>376</v>
      </c>
      <c r="C123" s="5" t="s">
        <v>455</v>
      </c>
      <c r="D123" s="5" t="s">
        <v>534</v>
      </c>
      <c r="E123" s="5" t="s">
        <v>302</v>
      </c>
    </row>
    <row r="124" spans="1:5" x14ac:dyDescent="0.45">
      <c r="A124" s="3" t="s">
        <v>385</v>
      </c>
      <c r="B124" s="3" t="s">
        <v>386</v>
      </c>
      <c r="C124" s="5" t="s">
        <v>477</v>
      </c>
      <c r="D124" s="5" t="s">
        <v>349</v>
      </c>
      <c r="E124" s="5" t="s">
        <v>302</v>
      </c>
    </row>
    <row r="125" spans="1:5" x14ac:dyDescent="0.45">
      <c r="A125" s="3" t="s">
        <v>72</v>
      </c>
      <c r="B125" s="3" t="s">
        <v>387</v>
      </c>
      <c r="C125" s="5" t="s">
        <v>377</v>
      </c>
      <c r="D125" s="5" t="s">
        <v>286</v>
      </c>
    </row>
    <row r="126" spans="1:5" x14ac:dyDescent="0.45">
      <c r="A126" s="3" t="s">
        <v>380</v>
      </c>
      <c r="B126" s="3" t="s">
        <v>381</v>
      </c>
      <c r="C126" s="5" t="s">
        <v>233</v>
      </c>
      <c r="D126" s="5" t="s">
        <v>534</v>
      </c>
      <c r="E126" s="5" t="s">
        <v>302</v>
      </c>
    </row>
    <row r="127" spans="1:5" x14ac:dyDescent="0.45">
      <c r="A127" s="3" t="s">
        <v>397</v>
      </c>
      <c r="B127" s="3" t="s">
        <v>398</v>
      </c>
      <c r="C127" s="5" t="s">
        <v>477</v>
      </c>
      <c r="D127" s="5" t="s">
        <v>354</v>
      </c>
      <c r="E127" s="5" t="s">
        <v>302</v>
      </c>
    </row>
    <row r="128" spans="1:5" x14ac:dyDescent="0.45">
      <c r="A128" s="3" t="s">
        <v>25</v>
      </c>
      <c r="B128" s="3" t="s">
        <v>399</v>
      </c>
      <c r="C128" s="5" t="s">
        <v>477</v>
      </c>
      <c r="D128" s="5" t="s">
        <v>534</v>
      </c>
      <c r="E128" s="5" t="s">
        <v>580</v>
      </c>
    </row>
    <row r="129" spans="1:5" x14ac:dyDescent="0.45">
      <c r="A129" s="3" t="s">
        <v>69</v>
      </c>
      <c r="B129" s="3" t="s">
        <v>379</v>
      </c>
      <c r="C129" s="5" t="s">
        <v>345</v>
      </c>
      <c r="D129" s="5" t="s">
        <v>534</v>
      </c>
      <c r="E129" s="5" t="s">
        <v>580</v>
      </c>
    </row>
    <row r="130" spans="1:5" x14ac:dyDescent="0.45">
      <c r="A130" s="3" t="s">
        <v>259</v>
      </c>
      <c r="B130" s="3" t="s">
        <v>260</v>
      </c>
      <c r="C130" s="5" t="s">
        <v>233</v>
      </c>
      <c r="D130" s="5" t="s">
        <v>354</v>
      </c>
      <c r="E130" s="5" t="s">
        <v>302</v>
      </c>
    </row>
    <row r="131" spans="1:5" x14ac:dyDescent="0.45">
      <c r="A131" s="3" t="s">
        <v>52</v>
      </c>
      <c r="B131" s="3" t="s">
        <v>372</v>
      </c>
      <c r="C131" s="5" t="s">
        <v>237</v>
      </c>
      <c r="D131" s="5" t="s">
        <v>534</v>
      </c>
      <c r="E131" s="5" t="s">
        <v>580</v>
      </c>
    </row>
    <row r="132" spans="1:5" x14ac:dyDescent="0.45">
      <c r="A132" s="3" t="s">
        <v>370</v>
      </c>
      <c r="B132" s="3" t="s">
        <v>371</v>
      </c>
      <c r="C132" s="5" t="s">
        <v>237</v>
      </c>
      <c r="D132" s="5" t="s">
        <v>286</v>
      </c>
    </row>
    <row r="133" spans="1:5" x14ac:dyDescent="0.45">
      <c r="A133" s="3" t="s">
        <v>392</v>
      </c>
      <c r="B133" s="3" t="s">
        <v>393</v>
      </c>
      <c r="C133" s="5" t="s">
        <v>233</v>
      </c>
      <c r="D133" s="5" t="s">
        <v>534</v>
      </c>
      <c r="E133" s="5" t="s">
        <v>580</v>
      </c>
    </row>
    <row r="134" spans="1:5" x14ac:dyDescent="0.45">
      <c r="A134" s="3" t="s">
        <v>58</v>
      </c>
      <c r="B134" s="3" t="s">
        <v>391</v>
      </c>
      <c r="C134" s="5" t="s">
        <v>237</v>
      </c>
      <c r="D134" s="5" t="s">
        <v>534</v>
      </c>
      <c r="E134" s="5" t="s">
        <v>580</v>
      </c>
    </row>
    <row r="135" spans="1:5" x14ac:dyDescent="0.45">
      <c r="A135" s="3" t="s">
        <v>51</v>
      </c>
      <c r="B135" s="3" t="s">
        <v>369</v>
      </c>
      <c r="C135" s="5" t="s">
        <v>377</v>
      </c>
      <c r="D135" s="5" t="s">
        <v>354</v>
      </c>
      <c r="E135" s="5" t="s">
        <v>580</v>
      </c>
    </row>
    <row r="136" spans="1:5" x14ac:dyDescent="0.45">
      <c r="A136" s="3" t="s">
        <v>128</v>
      </c>
      <c r="B136" s="3" t="s">
        <v>396</v>
      </c>
      <c r="C136" s="5" t="s">
        <v>477</v>
      </c>
      <c r="D136" s="5" t="s">
        <v>349</v>
      </c>
      <c r="E136" s="5" t="s">
        <v>302</v>
      </c>
    </row>
    <row r="137" spans="1:5" x14ac:dyDescent="0.45">
      <c r="A137" s="3" t="s">
        <v>115</v>
      </c>
      <c r="B137" s="3" t="s">
        <v>388</v>
      </c>
      <c r="C137" s="5" t="s">
        <v>233</v>
      </c>
      <c r="D137" s="5" t="s">
        <v>354</v>
      </c>
      <c r="E137" s="5" t="s">
        <v>302</v>
      </c>
    </row>
    <row r="138" spans="1:5" x14ac:dyDescent="0.45">
      <c r="A138" s="3" t="s">
        <v>126</v>
      </c>
      <c r="B138" s="3" t="s">
        <v>405</v>
      </c>
      <c r="C138" s="5" t="s">
        <v>477</v>
      </c>
      <c r="D138" s="4" t="s">
        <v>354</v>
      </c>
      <c r="E138" s="5" t="s">
        <v>580</v>
      </c>
    </row>
    <row r="139" spans="1:5" x14ac:dyDescent="0.45">
      <c r="A139" s="3" t="s">
        <v>415</v>
      </c>
      <c r="B139" s="3" t="s">
        <v>416</v>
      </c>
      <c r="C139" s="5" t="s">
        <v>233</v>
      </c>
      <c r="D139" s="5" t="s">
        <v>286</v>
      </c>
      <c r="E139" s="5" t="s">
        <v>580</v>
      </c>
    </row>
    <row r="140" spans="1:5" x14ac:dyDescent="0.45">
      <c r="A140" s="3" t="s">
        <v>14</v>
      </c>
      <c r="B140" s="3" t="s">
        <v>414</v>
      </c>
      <c r="C140" s="5" t="s">
        <v>455</v>
      </c>
      <c r="D140" s="5" t="s">
        <v>354</v>
      </c>
      <c r="E140" s="5" t="s">
        <v>302</v>
      </c>
    </row>
    <row r="141" spans="1:5" x14ac:dyDescent="0.45">
      <c r="A141" s="3" t="s">
        <v>97</v>
      </c>
      <c r="B141" s="3" t="s">
        <v>412</v>
      </c>
      <c r="C141" s="5" t="s">
        <v>237</v>
      </c>
      <c r="D141" s="5" t="s">
        <v>286</v>
      </c>
    </row>
    <row r="142" spans="1:5" x14ac:dyDescent="0.45">
      <c r="A142" s="3" t="s">
        <v>406</v>
      </c>
      <c r="B142" s="3" t="s">
        <v>407</v>
      </c>
      <c r="C142" s="5" t="s">
        <v>233</v>
      </c>
      <c r="D142" s="5" t="s">
        <v>286</v>
      </c>
    </row>
    <row r="143" spans="1:5" x14ac:dyDescent="0.45">
      <c r="A143" s="3" t="s">
        <v>98</v>
      </c>
      <c r="B143" s="3" t="s">
        <v>417</v>
      </c>
      <c r="C143" s="5" t="s">
        <v>233</v>
      </c>
      <c r="D143" s="5" t="s">
        <v>286</v>
      </c>
    </row>
    <row r="144" spans="1:5" x14ac:dyDescent="0.45">
      <c r="A144" s="3" t="s">
        <v>123</v>
      </c>
      <c r="B144" s="3" t="s">
        <v>411</v>
      </c>
      <c r="C144" s="5" t="s">
        <v>345</v>
      </c>
      <c r="D144" s="5" t="s">
        <v>354</v>
      </c>
      <c r="E144" s="5" t="s">
        <v>302</v>
      </c>
    </row>
    <row r="145" spans="1:5" x14ac:dyDescent="0.45">
      <c r="A145" s="3" t="s">
        <v>408</v>
      </c>
      <c r="B145" s="3" t="s">
        <v>409</v>
      </c>
      <c r="C145" s="5" t="s">
        <v>477</v>
      </c>
      <c r="D145" s="5" t="s">
        <v>349</v>
      </c>
      <c r="E145" s="5" t="s">
        <v>302</v>
      </c>
    </row>
    <row r="146" spans="1:5" x14ac:dyDescent="0.45">
      <c r="A146" s="3" t="s">
        <v>121</v>
      </c>
      <c r="B146" s="3" t="s">
        <v>410</v>
      </c>
      <c r="C146" s="5" t="s">
        <v>477</v>
      </c>
      <c r="D146" s="5" t="s">
        <v>354</v>
      </c>
      <c r="E146" s="5" t="s">
        <v>581</v>
      </c>
    </row>
    <row r="147" spans="1:5" x14ac:dyDescent="0.45">
      <c r="A147" s="3" t="s">
        <v>64</v>
      </c>
      <c r="B147" s="3" t="s">
        <v>384</v>
      </c>
      <c r="C147" s="5" t="s">
        <v>237</v>
      </c>
      <c r="D147" s="5" t="s">
        <v>534</v>
      </c>
      <c r="E147" s="5" t="s">
        <v>580</v>
      </c>
    </row>
    <row r="148" spans="1:5" x14ac:dyDescent="0.45">
      <c r="A148" s="3" t="s">
        <v>394</v>
      </c>
      <c r="B148" s="3" t="s">
        <v>395</v>
      </c>
      <c r="C148" s="5" t="s">
        <v>233</v>
      </c>
      <c r="D148" s="5" t="s">
        <v>286</v>
      </c>
    </row>
    <row r="149" spans="1:5" x14ac:dyDescent="0.45">
      <c r="A149" s="3" t="s">
        <v>92</v>
      </c>
      <c r="B149" s="3" t="s">
        <v>413</v>
      </c>
      <c r="C149" s="5" t="s">
        <v>237</v>
      </c>
      <c r="D149" s="5" t="s">
        <v>286</v>
      </c>
    </row>
    <row r="150" spans="1:5" x14ac:dyDescent="0.45">
      <c r="A150" s="3" t="s">
        <v>111</v>
      </c>
      <c r="B150" s="3" t="s">
        <v>420</v>
      </c>
      <c r="C150" s="5" t="s">
        <v>377</v>
      </c>
      <c r="D150" s="5" t="s">
        <v>286</v>
      </c>
    </row>
    <row r="151" spans="1:5" x14ac:dyDescent="0.45">
      <c r="A151" s="3" t="s">
        <v>43</v>
      </c>
      <c r="B151" s="3" t="s">
        <v>423</v>
      </c>
      <c r="C151" s="4" t="s">
        <v>377</v>
      </c>
      <c r="D151" s="5" t="s">
        <v>354</v>
      </c>
      <c r="E151" s="5" t="s">
        <v>581</v>
      </c>
    </row>
    <row r="152" spans="1:5" x14ac:dyDescent="0.45">
      <c r="A152" s="3" t="s">
        <v>427</v>
      </c>
      <c r="B152" s="3" t="s">
        <v>428</v>
      </c>
      <c r="C152" s="5" t="s">
        <v>233</v>
      </c>
      <c r="D152" s="5" t="s">
        <v>286</v>
      </c>
      <c r="E152" s="5" t="s">
        <v>580</v>
      </c>
    </row>
    <row r="153" spans="1:5" x14ac:dyDescent="0.45">
      <c r="A153" s="3" t="s">
        <v>73</v>
      </c>
      <c r="B153" s="3" t="s">
        <v>424</v>
      </c>
      <c r="C153" s="5" t="s">
        <v>345</v>
      </c>
      <c r="D153" s="5" t="s">
        <v>286</v>
      </c>
      <c r="E153" s="5" t="s">
        <v>580</v>
      </c>
    </row>
    <row r="154" spans="1:5" x14ac:dyDescent="0.45">
      <c r="A154" s="3" t="s">
        <v>429</v>
      </c>
      <c r="B154" s="3" t="s">
        <v>430</v>
      </c>
      <c r="C154" s="5" t="s">
        <v>233</v>
      </c>
      <c r="D154" s="5" t="s">
        <v>354</v>
      </c>
      <c r="E154" s="5" t="s">
        <v>581</v>
      </c>
    </row>
    <row r="155" spans="1:5" x14ac:dyDescent="0.45">
      <c r="A155" s="3" t="s">
        <v>439</v>
      </c>
      <c r="B155" s="3" t="s">
        <v>440</v>
      </c>
      <c r="C155" s="5" t="s">
        <v>345</v>
      </c>
      <c r="D155" s="5" t="s">
        <v>534</v>
      </c>
      <c r="E155" s="5" t="s">
        <v>580</v>
      </c>
    </row>
    <row r="156" spans="1:5" x14ac:dyDescent="0.45">
      <c r="A156" s="3" t="s">
        <v>26</v>
      </c>
      <c r="B156" s="3" t="s">
        <v>425</v>
      </c>
      <c r="C156" s="5" t="s">
        <v>345</v>
      </c>
      <c r="D156" s="5" t="s">
        <v>534</v>
      </c>
      <c r="E156" s="5" t="s">
        <v>580</v>
      </c>
    </row>
    <row r="157" spans="1:5" x14ac:dyDescent="0.45">
      <c r="A157" s="3" t="s">
        <v>20</v>
      </c>
      <c r="B157" s="3" t="s">
        <v>426</v>
      </c>
      <c r="C157" s="5" t="s">
        <v>233</v>
      </c>
      <c r="D157" s="5" t="s">
        <v>354</v>
      </c>
      <c r="E157" s="5" t="s">
        <v>580</v>
      </c>
    </row>
    <row r="158" spans="1:5" x14ac:dyDescent="0.45">
      <c r="A158" s="3" t="s">
        <v>74</v>
      </c>
      <c r="B158" s="3" t="s">
        <v>431</v>
      </c>
      <c r="C158" s="5" t="s">
        <v>237</v>
      </c>
      <c r="D158" s="5" t="s">
        <v>286</v>
      </c>
      <c r="E158" s="5" t="s">
        <v>580</v>
      </c>
    </row>
    <row r="159" spans="1:5" x14ac:dyDescent="0.45">
      <c r="A159" s="3" t="s">
        <v>41</v>
      </c>
      <c r="B159" s="3" t="s">
        <v>438</v>
      </c>
      <c r="C159" s="5" t="s">
        <v>237</v>
      </c>
      <c r="D159" s="5" t="s">
        <v>286</v>
      </c>
    </row>
    <row r="160" spans="1:5" x14ac:dyDescent="0.45">
      <c r="A160" s="3" t="s">
        <v>584</v>
      </c>
      <c r="B160" s="3" t="s">
        <v>435</v>
      </c>
      <c r="C160" s="5" t="s">
        <v>345</v>
      </c>
      <c r="D160" s="5" t="s">
        <v>286</v>
      </c>
    </row>
    <row r="161" spans="1:5" x14ac:dyDescent="0.45">
      <c r="A161" s="3" t="s">
        <v>107</v>
      </c>
      <c r="B161" s="3" t="s">
        <v>449</v>
      </c>
      <c r="C161" s="5" t="s">
        <v>377</v>
      </c>
      <c r="D161" s="5" t="s">
        <v>286</v>
      </c>
    </row>
    <row r="162" spans="1:5" x14ac:dyDescent="0.45">
      <c r="A162" s="3" t="s">
        <v>78</v>
      </c>
      <c r="B162" s="3" t="s">
        <v>450</v>
      </c>
      <c r="C162" s="5" t="s">
        <v>237</v>
      </c>
      <c r="D162" s="5" t="s">
        <v>286</v>
      </c>
      <c r="E162" s="5" t="s">
        <v>580</v>
      </c>
    </row>
    <row r="163" spans="1:5" x14ac:dyDescent="0.45">
      <c r="A163" s="3" t="s">
        <v>451</v>
      </c>
      <c r="B163" s="3" t="s">
        <v>452</v>
      </c>
      <c r="C163" s="5" t="s">
        <v>237</v>
      </c>
      <c r="D163" s="5" t="s">
        <v>286</v>
      </c>
      <c r="E163" s="5" t="s">
        <v>580</v>
      </c>
    </row>
    <row r="164" spans="1:5" x14ac:dyDescent="0.45">
      <c r="A164" s="3" t="s">
        <v>453</v>
      </c>
      <c r="B164" s="3" t="s">
        <v>454</v>
      </c>
      <c r="C164" s="5" t="s">
        <v>477</v>
      </c>
      <c r="D164" s="5" t="s">
        <v>349</v>
      </c>
      <c r="E164" s="5" t="s">
        <v>302</v>
      </c>
    </row>
    <row r="165" spans="1:5" x14ac:dyDescent="0.45">
      <c r="A165" s="3" t="s">
        <v>553</v>
      </c>
      <c r="B165" s="3" t="s">
        <v>554</v>
      </c>
      <c r="C165" s="5" t="s">
        <v>233</v>
      </c>
      <c r="D165" s="4" t="s">
        <v>534</v>
      </c>
      <c r="E165" s="5" t="s">
        <v>302</v>
      </c>
    </row>
    <row r="166" spans="1:5" x14ac:dyDescent="0.45">
      <c r="A166" s="3" t="s">
        <v>468</v>
      </c>
      <c r="B166" s="3" t="s">
        <v>469</v>
      </c>
      <c r="C166" s="5" t="s">
        <v>237</v>
      </c>
      <c r="D166" s="5" t="s">
        <v>286</v>
      </c>
    </row>
    <row r="167" spans="1:5" x14ac:dyDescent="0.45">
      <c r="A167" s="3" t="s">
        <v>585</v>
      </c>
      <c r="B167" s="3" t="s">
        <v>482</v>
      </c>
      <c r="C167" s="5" t="s">
        <v>477</v>
      </c>
      <c r="D167" s="5" t="s">
        <v>354</v>
      </c>
      <c r="E167" s="5" t="s">
        <v>302</v>
      </c>
    </row>
    <row r="168" spans="1:5" x14ac:dyDescent="0.45">
      <c r="A168" s="3" t="s">
        <v>112</v>
      </c>
      <c r="B168" s="3" t="s">
        <v>457</v>
      </c>
      <c r="C168" s="5" t="s">
        <v>377</v>
      </c>
      <c r="D168" s="5" t="s">
        <v>286</v>
      </c>
    </row>
    <row r="169" spans="1:5" x14ac:dyDescent="0.45">
      <c r="A169" s="3" t="s">
        <v>460</v>
      </c>
      <c r="B169" s="3" t="s">
        <v>461</v>
      </c>
      <c r="C169" s="5" t="s">
        <v>477</v>
      </c>
      <c r="D169" s="5" t="s">
        <v>354</v>
      </c>
      <c r="E169" s="5" t="s">
        <v>302</v>
      </c>
    </row>
    <row r="170" spans="1:5" x14ac:dyDescent="0.45">
      <c r="A170" s="3" t="s">
        <v>33</v>
      </c>
      <c r="B170" s="3" t="s">
        <v>472</v>
      </c>
      <c r="C170" s="5" t="s">
        <v>237</v>
      </c>
      <c r="D170" s="5" t="s">
        <v>534</v>
      </c>
      <c r="E170" s="5" t="s">
        <v>580</v>
      </c>
    </row>
    <row r="171" spans="1:5" x14ac:dyDescent="0.45">
      <c r="A171" s="3" t="s">
        <v>493</v>
      </c>
      <c r="B171" s="3" t="s">
        <v>494</v>
      </c>
      <c r="C171" s="5" t="s">
        <v>477</v>
      </c>
      <c r="D171" s="5" t="s">
        <v>286</v>
      </c>
      <c r="E171" s="5" t="s">
        <v>580</v>
      </c>
    </row>
    <row r="172" spans="1:5" x14ac:dyDescent="0.45">
      <c r="A172" s="3" t="s">
        <v>465</v>
      </c>
      <c r="B172" s="3" t="s">
        <v>466</v>
      </c>
      <c r="C172" s="5" t="s">
        <v>477</v>
      </c>
      <c r="D172" s="5" t="s">
        <v>349</v>
      </c>
      <c r="E172" s="5" t="s">
        <v>302</v>
      </c>
    </row>
    <row r="173" spans="1:5" x14ac:dyDescent="0.45">
      <c r="A173" s="3" t="s">
        <v>19</v>
      </c>
      <c r="B173" s="3" t="s">
        <v>462</v>
      </c>
      <c r="C173" s="5" t="s">
        <v>233</v>
      </c>
      <c r="D173" s="5" t="s">
        <v>286</v>
      </c>
    </row>
    <row r="174" spans="1:5" x14ac:dyDescent="0.45">
      <c r="A174" s="3" t="s">
        <v>491</v>
      </c>
      <c r="B174" s="3" t="s">
        <v>492</v>
      </c>
      <c r="C174" s="5" t="s">
        <v>345</v>
      </c>
      <c r="D174" s="5" t="s">
        <v>286</v>
      </c>
    </row>
    <row r="175" spans="1:5" x14ac:dyDescent="0.45">
      <c r="A175" s="3" t="s">
        <v>485</v>
      </c>
      <c r="B175" s="3" t="s">
        <v>486</v>
      </c>
      <c r="C175" s="5" t="s">
        <v>237</v>
      </c>
      <c r="D175" s="5" t="s">
        <v>286</v>
      </c>
    </row>
    <row r="176" spans="1:5" x14ac:dyDescent="0.45">
      <c r="A176" s="3" t="s">
        <v>55</v>
      </c>
      <c r="B176" s="3" t="s">
        <v>487</v>
      </c>
      <c r="C176" s="5" t="s">
        <v>237</v>
      </c>
      <c r="D176" s="5" t="s">
        <v>286</v>
      </c>
    </row>
    <row r="177" spans="1:5" x14ac:dyDescent="0.45">
      <c r="A177" s="3" t="s">
        <v>463</v>
      </c>
      <c r="B177" s="3" t="s">
        <v>464</v>
      </c>
      <c r="C177" s="5" t="s">
        <v>233</v>
      </c>
      <c r="D177" s="5" t="s">
        <v>354</v>
      </c>
      <c r="E177" s="5" t="s">
        <v>302</v>
      </c>
    </row>
    <row r="178" spans="1:5" x14ac:dyDescent="0.45">
      <c r="A178" s="6" t="s">
        <v>470</v>
      </c>
      <c r="B178" s="3" t="s">
        <v>471</v>
      </c>
      <c r="C178" s="5" t="s">
        <v>477</v>
      </c>
      <c r="D178" s="5" t="s">
        <v>349</v>
      </c>
      <c r="E178" s="5" t="s">
        <v>302</v>
      </c>
    </row>
    <row r="179" spans="1:5" x14ac:dyDescent="0.45">
      <c r="A179" s="3" t="s">
        <v>110</v>
      </c>
      <c r="B179" s="3" t="s">
        <v>559</v>
      </c>
      <c r="C179" s="5" t="s">
        <v>477</v>
      </c>
      <c r="D179" s="5" t="s">
        <v>534</v>
      </c>
      <c r="E179" s="5" t="s">
        <v>580</v>
      </c>
    </row>
    <row r="180" spans="1:5" x14ac:dyDescent="0.45">
      <c r="A180" s="3" t="s">
        <v>475</v>
      </c>
      <c r="B180" s="3" t="s">
        <v>476</v>
      </c>
      <c r="C180" s="5" t="s">
        <v>477</v>
      </c>
      <c r="D180" s="5" t="s">
        <v>349</v>
      </c>
      <c r="E180" s="5" t="s">
        <v>302</v>
      </c>
    </row>
    <row r="181" spans="1:5" x14ac:dyDescent="0.45">
      <c r="A181" s="3" t="s">
        <v>90</v>
      </c>
      <c r="B181" s="3" t="s">
        <v>246</v>
      </c>
      <c r="C181" s="5" t="s">
        <v>237</v>
      </c>
      <c r="D181" s="5" t="s">
        <v>286</v>
      </c>
    </row>
    <row r="182" spans="1:5" x14ac:dyDescent="0.45">
      <c r="A182" s="3" t="s">
        <v>13</v>
      </c>
      <c r="B182" s="3" t="s">
        <v>353</v>
      </c>
      <c r="C182" s="5" t="s">
        <v>455</v>
      </c>
      <c r="D182" s="5" t="s">
        <v>354</v>
      </c>
      <c r="E182" s="5" t="s">
        <v>302</v>
      </c>
    </row>
    <row r="183" spans="1:5" x14ac:dyDescent="0.45">
      <c r="A183" s="3" t="s">
        <v>330</v>
      </c>
      <c r="B183" s="3" t="s">
        <v>331</v>
      </c>
      <c r="C183" s="5" t="s">
        <v>345</v>
      </c>
      <c r="D183" s="5" t="s">
        <v>286</v>
      </c>
      <c r="E183" s="5" t="s">
        <v>580</v>
      </c>
    </row>
    <row r="184" spans="1:5" x14ac:dyDescent="0.45">
      <c r="A184" s="3" t="s">
        <v>343</v>
      </c>
      <c r="B184" s="3" t="s">
        <v>344</v>
      </c>
      <c r="C184" s="5" t="s">
        <v>345</v>
      </c>
      <c r="D184" s="5" t="s">
        <v>534</v>
      </c>
      <c r="E184" s="5" t="s">
        <v>581</v>
      </c>
    </row>
    <row r="185" spans="1:5" x14ac:dyDescent="0.45">
      <c r="A185" s="3" t="s">
        <v>367</v>
      </c>
      <c r="B185" s="3" t="s">
        <v>368</v>
      </c>
      <c r="C185" s="5" t="s">
        <v>345</v>
      </c>
      <c r="D185" s="5" t="s">
        <v>286</v>
      </c>
    </row>
    <row r="186" spans="1:5" x14ac:dyDescent="0.45">
      <c r="A186" s="3" t="s">
        <v>539</v>
      </c>
      <c r="B186" s="3" t="s">
        <v>540</v>
      </c>
      <c r="C186" s="5" t="s">
        <v>345</v>
      </c>
      <c r="D186" s="5" t="s">
        <v>534</v>
      </c>
      <c r="E186" s="5" t="s">
        <v>581</v>
      </c>
    </row>
    <row r="187" spans="1:5" x14ac:dyDescent="0.45">
      <c r="A187" s="3" t="s">
        <v>458</v>
      </c>
      <c r="B187" s="3" t="s">
        <v>459</v>
      </c>
      <c r="C187" s="5" t="s">
        <v>477</v>
      </c>
      <c r="D187" s="5" t="s">
        <v>349</v>
      </c>
      <c r="E187" s="5" t="s">
        <v>302</v>
      </c>
    </row>
    <row r="188" spans="1:5" x14ac:dyDescent="0.45">
      <c r="A188" s="3" t="s">
        <v>483</v>
      </c>
      <c r="B188" s="3" t="s">
        <v>484</v>
      </c>
      <c r="C188" s="5" t="s">
        <v>345</v>
      </c>
      <c r="D188" s="5" t="s">
        <v>534</v>
      </c>
      <c r="E188" s="7" t="s">
        <v>581</v>
      </c>
    </row>
    <row r="189" spans="1:5" x14ac:dyDescent="0.45">
      <c r="A189" s="3" t="s">
        <v>96</v>
      </c>
      <c r="B189" s="3" t="s">
        <v>488</v>
      </c>
      <c r="C189" s="5" t="s">
        <v>237</v>
      </c>
      <c r="D189" s="5" t="s">
        <v>286</v>
      </c>
    </row>
    <row r="190" spans="1:5" x14ac:dyDescent="0.45">
      <c r="A190" s="3" t="s">
        <v>75</v>
      </c>
      <c r="B190" s="3" t="s">
        <v>193</v>
      </c>
      <c r="C190" s="5" t="s">
        <v>237</v>
      </c>
      <c r="D190" s="5" t="s">
        <v>286</v>
      </c>
    </row>
    <row r="191" spans="1:5" x14ac:dyDescent="0.45">
      <c r="A191" s="3" t="s">
        <v>495</v>
      </c>
      <c r="B191" s="3" t="s">
        <v>496</v>
      </c>
      <c r="C191" s="5" t="s">
        <v>377</v>
      </c>
      <c r="D191" s="5" t="s">
        <v>349</v>
      </c>
      <c r="E191" s="5" t="s">
        <v>302</v>
      </c>
    </row>
    <row r="192" spans="1:5" x14ac:dyDescent="0.45">
      <c r="A192" s="3" t="s">
        <v>586</v>
      </c>
      <c r="B192" s="3" t="s">
        <v>587</v>
      </c>
      <c r="C192" s="5" t="s">
        <v>233</v>
      </c>
      <c r="D192" s="5" t="s">
        <v>286</v>
      </c>
    </row>
    <row r="193" spans="1:5" x14ac:dyDescent="0.45">
      <c r="A193" s="3" t="s">
        <v>508</v>
      </c>
      <c r="B193" s="3" t="s">
        <v>509</v>
      </c>
      <c r="C193" s="5" t="s">
        <v>237</v>
      </c>
      <c r="D193" s="5" t="s">
        <v>354</v>
      </c>
      <c r="E193" s="5" t="s">
        <v>302</v>
      </c>
    </row>
    <row r="194" spans="1:5" x14ac:dyDescent="0.45">
      <c r="A194" s="3" t="s">
        <v>133</v>
      </c>
      <c r="B194" s="3" t="s">
        <v>531</v>
      </c>
      <c r="C194" s="5" t="s">
        <v>477</v>
      </c>
      <c r="D194" s="5" t="s">
        <v>354</v>
      </c>
      <c r="E194" s="5" t="s">
        <v>302</v>
      </c>
    </row>
    <row r="195" spans="1:5" x14ac:dyDescent="0.45">
      <c r="A195" s="3" t="s">
        <v>18</v>
      </c>
      <c r="B195" s="3" t="s">
        <v>507</v>
      </c>
      <c r="C195" s="5" t="s">
        <v>233</v>
      </c>
      <c r="D195" s="5" t="s">
        <v>534</v>
      </c>
      <c r="E195" s="5" t="s">
        <v>580</v>
      </c>
    </row>
    <row r="196" spans="1:5" x14ac:dyDescent="0.45">
      <c r="A196" s="3" t="s">
        <v>514</v>
      </c>
      <c r="B196" s="3" t="s">
        <v>515</v>
      </c>
      <c r="C196" s="5" t="s">
        <v>233</v>
      </c>
      <c r="D196" s="5" t="s">
        <v>354</v>
      </c>
      <c r="E196" s="5" t="s">
        <v>581</v>
      </c>
    </row>
    <row r="197" spans="1:5" x14ac:dyDescent="0.45">
      <c r="A197" s="3" t="s">
        <v>505</v>
      </c>
      <c r="B197" s="3" t="s">
        <v>506</v>
      </c>
      <c r="C197" s="5" t="s">
        <v>477</v>
      </c>
      <c r="D197" s="5" t="s">
        <v>349</v>
      </c>
      <c r="E197" s="5" t="s">
        <v>302</v>
      </c>
    </row>
    <row r="198" spans="1:5" x14ac:dyDescent="0.45">
      <c r="A198" s="3" t="s">
        <v>518</v>
      </c>
      <c r="B198" s="3" t="s">
        <v>519</v>
      </c>
      <c r="C198" s="5" t="s">
        <v>233</v>
      </c>
      <c r="D198" s="5" t="s">
        <v>534</v>
      </c>
      <c r="E198" s="5" t="s">
        <v>302</v>
      </c>
    </row>
    <row r="199" spans="1:5" x14ac:dyDescent="0.45">
      <c r="A199" s="3" t="s">
        <v>524</v>
      </c>
      <c r="B199" s="3" t="s">
        <v>525</v>
      </c>
      <c r="C199" s="5" t="s">
        <v>345</v>
      </c>
      <c r="D199" s="5" t="s">
        <v>286</v>
      </c>
      <c r="E199" s="5" t="s">
        <v>580</v>
      </c>
    </row>
    <row r="200" spans="1:5" x14ac:dyDescent="0.45">
      <c r="A200" s="3" t="s">
        <v>65</v>
      </c>
      <c r="B200" s="3" t="s">
        <v>526</v>
      </c>
      <c r="C200" s="5" t="s">
        <v>377</v>
      </c>
      <c r="D200" s="5" t="s">
        <v>354</v>
      </c>
      <c r="E200" s="5" t="s">
        <v>580</v>
      </c>
    </row>
    <row r="201" spans="1:5" x14ac:dyDescent="0.45">
      <c r="A201" s="3" t="s">
        <v>588</v>
      </c>
      <c r="B201" s="3" t="s">
        <v>528</v>
      </c>
      <c r="C201" s="5" t="s">
        <v>237</v>
      </c>
      <c r="D201" s="5" t="s">
        <v>534</v>
      </c>
      <c r="E201" s="5" t="s">
        <v>580</v>
      </c>
    </row>
    <row r="202" spans="1:5" x14ac:dyDescent="0.45">
      <c r="A202" s="3" t="s">
        <v>510</v>
      </c>
      <c r="B202" s="3" t="s">
        <v>511</v>
      </c>
      <c r="C202" s="5" t="s">
        <v>237</v>
      </c>
      <c r="D202" s="5" t="s">
        <v>534</v>
      </c>
      <c r="E202" s="5" t="s">
        <v>580</v>
      </c>
    </row>
    <row r="203" spans="1:5" x14ac:dyDescent="0.45">
      <c r="A203" s="3" t="s">
        <v>497</v>
      </c>
      <c r="B203" s="3" t="s">
        <v>498</v>
      </c>
      <c r="C203" s="5" t="s">
        <v>345</v>
      </c>
      <c r="D203" s="5" t="s">
        <v>286</v>
      </c>
    </row>
    <row r="204" spans="1:5" x14ac:dyDescent="0.45">
      <c r="A204" s="3" t="s">
        <v>529</v>
      </c>
      <c r="B204" s="3" t="s">
        <v>530</v>
      </c>
      <c r="C204" s="5" t="s">
        <v>233</v>
      </c>
      <c r="D204" s="5" t="s">
        <v>534</v>
      </c>
      <c r="E204" s="5" t="s">
        <v>302</v>
      </c>
    </row>
    <row r="205" spans="1:5" x14ac:dyDescent="0.45">
      <c r="A205" s="3" t="s">
        <v>113</v>
      </c>
      <c r="B205" s="3" t="s">
        <v>532</v>
      </c>
      <c r="C205" s="5" t="s">
        <v>477</v>
      </c>
      <c r="D205" s="5" t="s">
        <v>349</v>
      </c>
      <c r="E205" s="5" t="s">
        <v>302</v>
      </c>
    </row>
    <row r="206" spans="1:5" x14ac:dyDescent="0.45">
      <c r="A206" s="3" t="s">
        <v>48</v>
      </c>
      <c r="B206" s="3" t="s">
        <v>533</v>
      </c>
      <c r="C206" s="5" t="s">
        <v>237</v>
      </c>
      <c r="D206" s="5" t="s">
        <v>534</v>
      </c>
      <c r="E206" s="5" t="s">
        <v>580</v>
      </c>
    </row>
    <row r="207" spans="1:5" x14ac:dyDescent="0.45">
      <c r="A207" s="3" t="s">
        <v>100</v>
      </c>
      <c r="B207" s="3" t="s">
        <v>151</v>
      </c>
      <c r="C207" s="5" t="s">
        <v>377</v>
      </c>
      <c r="D207" s="5" t="s">
        <v>286</v>
      </c>
    </row>
    <row r="208" spans="1:5" x14ac:dyDescent="0.45">
      <c r="A208" s="3" t="s">
        <v>86</v>
      </c>
      <c r="B208" s="3" t="s">
        <v>263</v>
      </c>
      <c r="C208" s="5" t="s">
        <v>237</v>
      </c>
      <c r="D208" s="5" t="s">
        <v>286</v>
      </c>
    </row>
    <row r="209" spans="1:5" x14ac:dyDescent="0.45">
      <c r="A209" s="3" t="s">
        <v>109</v>
      </c>
      <c r="B209" s="3" t="s">
        <v>537</v>
      </c>
      <c r="C209" s="5" t="s">
        <v>403</v>
      </c>
      <c r="D209" s="5" t="s">
        <v>286</v>
      </c>
    </row>
    <row r="210" spans="1:5" x14ac:dyDescent="0.45">
      <c r="A210" s="3" t="s">
        <v>54</v>
      </c>
      <c r="B210" s="3" t="s">
        <v>536</v>
      </c>
      <c r="C210" s="5" t="s">
        <v>345</v>
      </c>
      <c r="D210" s="5" t="s">
        <v>286</v>
      </c>
      <c r="E210" s="5" t="s">
        <v>580</v>
      </c>
    </row>
    <row r="211" spans="1:5" x14ac:dyDescent="0.45">
      <c r="A211" s="3" t="s">
        <v>50</v>
      </c>
      <c r="B211" s="3" t="s">
        <v>538</v>
      </c>
      <c r="C211" s="5" t="s">
        <v>237</v>
      </c>
      <c r="D211" s="5" t="s">
        <v>354</v>
      </c>
      <c r="E211" s="5" t="s">
        <v>581</v>
      </c>
    </row>
    <row r="212" spans="1:5" x14ac:dyDescent="0.45">
      <c r="A212" s="3" t="s">
        <v>549</v>
      </c>
      <c r="B212" s="3" t="s">
        <v>550</v>
      </c>
      <c r="C212" s="5" t="s">
        <v>233</v>
      </c>
      <c r="D212" s="5" t="s">
        <v>354</v>
      </c>
      <c r="E212" s="5" t="s">
        <v>302</v>
      </c>
    </row>
    <row r="213" spans="1:5" x14ac:dyDescent="0.45">
      <c r="A213" s="3" t="s">
        <v>541</v>
      </c>
      <c r="B213" s="3" t="s">
        <v>542</v>
      </c>
      <c r="C213" s="5" t="s">
        <v>345</v>
      </c>
      <c r="E213" s="5" t="s">
        <v>580</v>
      </c>
    </row>
    <row r="214" spans="1:5" x14ac:dyDescent="0.45">
      <c r="A214" s="3" t="s">
        <v>17</v>
      </c>
      <c r="B214" s="3" t="s">
        <v>548</v>
      </c>
      <c r="C214" s="5" t="s">
        <v>233</v>
      </c>
      <c r="D214" s="5" t="s">
        <v>354</v>
      </c>
      <c r="E214" s="5" t="s">
        <v>580</v>
      </c>
    </row>
    <row r="215" spans="1:5" x14ac:dyDescent="0.45">
      <c r="A215" s="3" t="s">
        <v>545</v>
      </c>
      <c r="B215" s="3" t="s">
        <v>546</v>
      </c>
      <c r="C215" s="5" t="s">
        <v>345</v>
      </c>
      <c r="D215" s="5" t="s">
        <v>286</v>
      </c>
    </row>
    <row r="216" spans="1:5" x14ac:dyDescent="0.45">
      <c r="A216" s="3" t="s">
        <v>441</v>
      </c>
      <c r="B216" s="3" t="s">
        <v>442</v>
      </c>
      <c r="C216" s="5" t="s">
        <v>377</v>
      </c>
      <c r="D216" s="5" t="s">
        <v>354</v>
      </c>
    </row>
    <row r="217" spans="1:5" x14ac:dyDescent="0.45">
      <c r="A217" s="3" t="s">
        <v>557</v>
      </c>
      <c r="B217" s="3" t="s">
        <v>558</v>
      </c>
      <c r="C217" s="5" t="s">
        <v>377</v>
      </c>
      <c r="D217" s="5" t="s">
        <v>349</v>
      </c>
      <c r="E217" s="5" t="s">
        <v>302</v>
      </c>
    </row>
    <row r="218" spans="1:5" x14ac:dyDescent="0.45">
      <c r="A218" s="3" t="s">
        <v>560</v>
      </c>
      <c r="B218" s="3" t="s">
        <v>561</v>
      </c>
      <c r="C218" s="5" t="s">
        <v>477</v>
      </c>
      <c r="D218" s="5" t="s">
        <v>354</v>
      </c>
      <c r="E218" s="5" t="s">
        <v>302</v>
      </c>
    </row>
    <row r="219" spans="1:5" x14ac:dyDescent="0.45">
      <c r="A219" s="3" t="s">
        <v>119</v>
      </c>
      <c r="B219" s="3" t="s">
        <v>562</v>
      </c>
      <c r="C219" s="5" t="s">
        <v>477</v>
      </c>
      <c r="D219" s="5" t="s">
        <v>354</v>
      </c>
      <c r="E219" s="5" t="s">
        <v>581</v>
      </c>
    </row>
    <row r="221" spans="1:5" x14ac:dyDescent="0.45">
      <c r="A221" s="8" t="s">
        <v>138</v>
      </c>
      <c r="B221" s="9" t="s">
        <v>139</v>
      </c>
    </row>
    <row r="222" spans="1:5" x14ac:dyDescent="0.45">
      <c r="A222" s="8" t="s">
        <v>142</v>
      </c>
      <c r="B222" s="9" t="s">
        <v>143</v>
      </c>
    </row>
    <row r="223" spans="1:5" x14ac:dyDescent="0.45">
      <c r="A223" s="3" t="s">
        <v>149</v>
      </c>
      <c r="B223" s="3" t="s">
        <v>150</v>
      </c>
    </row>
    <row r="224" spans="1:5" x14ac:dyDescent="0.45">
      <c r="A224" s="3" t="s">
        <v>211</v>
      </c>
      <c r="B224" s="3" t="s">
        <v>212</v>
      </c>
    </row>
    <row r="225" spans="1:3" x14ac:dyDescent="0.45">
      <c r="A225" s="3" t="s">
        <v>191</v>
      </c>
      <c r="B225" s="3" t="s">
        <v>192</v>
      </c>
      <c r="C225" s="10"/>
    </row>
    <row r="226" spans="1:3" x14ac:dyDescent="0.45">
      <c r="A226" s="3" t="s">
        <v>231</v>
      </c>
      <c r="B226" s="3" t="s">
        <v>232</v>
      </c>
      <c r="C226" s="10"/>
    </row>
    <row r="227" spans="1:3" x14ac:dyDescent="0.45">
      <c r="A227" s="3" t="s">
        <v>233</v>
      </c>
      <c r="B227" s="3" t="s">
        <v>234</v>
      </c>
      <c r="C227" s="11"/>
    </row>
    <row r="228" spans="1:3" x14ac:dyDescent="0.45">
      <c r="A228" s="3" t="s">
        <v>229</v>
      </c>
      <c r="B228" s="3" t="s">
        <v>230</v>
      </c>
      <c r="C228" s="10"/>
    </row>
    <row r="229" spans="1:3" x14ac:dyDescent="0.45">
      <c r="A229" s="3" t="s">
        <v>589</v>
      </c>
      <c r="B229" s="3" t="s">
        <v>502</v>
      </c>
      <c r="C229" s="11"/>
    </row>
    <row r="230" spans="1:3" x14ac:dyDescent="0.45">
      <c r="A230" s="3" t="s">
        <v>242</v>
      </c>
      <c r="B230" s="3" t="s">
        <v>243</v>
      </c>
      <c r="C230" s="10"/>
    </row>
    <row r="231" spans="1:3" x14ac:dyDescent="0.45">
      <c r="A231" s="3" t="s">
        <v>237</v>
      </c>
      <c r="B231" s="3" t="s">
        <v>238</v>
      </c>
      <c r="C231" s="10"/>
    </row>
    <row r="232" spans="1:3" x14ac:dyDescent="0.45">
      <c r="A232" s="3" t="s">
        <v>235</v>
      </c>
      <c r="B232" s="3" t="s">
        <v>236</v>
      </c>
      <c r="C232" s="10"/>
    </row>
    <row r="233" spans="1:3" x14ac:dyDescent="0.45">
      <c r="A233" s="3" t="s">
        <v>590</v>
      </c>
      <c r="B233" s="3" t="s">
        <v>504</v>
      </c>
      <c r="C233" s="11"/>
    </row>
    <row r="234" spans="1:3" x14ac:dyDescent="0.45">
      <c r="A234" s="3" t="s">
        <v>249</v>
      </c>
      <c r="B234" s="3" t="s">
        <v>250</v>
      </c>
      <c r="C234" s="10"/>
    </row>
    <row r="235" spans="1:3" x14ac:dyDescent="0.45">
      <c r="A235" s="3" t="s">
        <v>251</v>
      </c>
      <c r="B235" s="3" t="s">
        <v>252</v>
      </c>
      <c r="C235" s="10"/>
    </row>
    <row r="236" spans="1:3" x14ac:dyDescent="0.45">
      <c r="A236" s="3" t="s">
        <v>291</v>
      </c>
      <c r="B236" s="3" t="s">
        <v>292</v>
      </c>
      <c r="C236" s="11"/>
    </row>
    <row r="237" spans="1:3" x14ac:dyDescent="0.45">
      <c r="A237" s="3" t="s">
        <v>286</v>
      </c>
      <c r="B237" s="3" t="s">
        <v>287</v>
      </c>
      <c r="C237" s="12"/>
    </row>
    <row r="238" spans="1:3" x14ac:dyDescent="0.45">
      <c r="A238" s="3" t="s">
        <v>297</v>
      </c>
      <c r="B238" s="3" t="s">
        <v>298</v>
      </c>
      <c r="C238" s="10"/>
    </row>
    <row r="239" spans="1:3" x14ac:dyDescent="0.45">
      <c r="A239" s="3" t="s">
        <v>299</v>
      </c>
      <c r="B239" s="3" t="s">
        <v>300</v>
      </c>
      <c r="C239" s="10"/>
    </row>
    <row r="240" spans="1:3" x14ac:dyDescent="0.45">
      <c r="A240" s="3" t="s">
        <v>303</v>
      </c>
      <c r="B240" s="3" t="s">
        <v>304</v>
      </c>
      <c r="C240" s="10"/>
    </row>
    <row r="241" spans="1:3" x14ac:dyDescent="0.45">
      <c r="A241" s="3" t="s">
        <v>306</v>
      </c>
      <c r="B241" s="3" t="s">
        <v>307</v>
      </c>
      <c r="C241" s="10"/>
    </row>
    <row r="242" spans="1:3" x14ac:dyDescent="0.45">
      <c r="A242" s="3" t="s">
        <v>301</v>
      </c>
      <c r="B242" s="3" t="s">
        <v>302</v>
      </c>
      <c r="C242" s="10"/>
    </row>
    <row r="243" spans="1:3" x14ac:dyDescent="0.45">
      <c r="A243" s="3" t="s">
        <v>360</v>
      </c>
      <c r="B243" s="3" t="s">
        <v>361</v>
      </c>
      <c r="C243" s="10"/>
    </row>
    <row r="244" spans="1:3" x14ac:dyDescent="0.45">
      <c r="A244" s="3" t="s">
        <v>345</v>
      </c>
      <c r="B244" s="3" t="s">
        <v>346</v>
      </c>
      <c r="C244" s="10"/>
    </row>
    <row r="245" spans="1:3" x14ac:dyDescent="0.45">
      <c r="A245" s="3" t="s">
        <v>335</v>
      </c>
      <c r="B245" s="3" t="s">
        <v>336</v>
      </c>
      <c r="C245" s="10"/>
    </row>
    <row r="246" spans="1:3" x14ac:dyDescent="0.45">
      <c r="A246" s="3" t="s">
        <v>591</v>
      </c>
      <c r="B246" s="3" t="s">
        <v>513</v>
      </c>
      <c r="C246" s="10"/>
    </row>
    <row r="247" spans="1:3" x14ac:dyDescent="0.45">
      <c r="A247" s="3" t="s">
        <v>347</v>
      </c>
      <c r="B247" s="3" t="s">
        <v>348</v>
      </c>
      <c r="C247" s="10"/>
    </row>
    <row r="248" spans="1:3" x14ac:dyDescent="0.45">
      <c r="A248" s="3" t="s">
        <v>356</v>
      </c>
      <c r="B248" s="3" t="s">
        <v>357</v>
      </c>
      <c r="C248" s="10"/>
    </row>
    <row r="249" spans="1:3" x14ac:dyDescent="0.45">
      <c r="A249" s="3" t="s">
        <v>349</v>
      </c>
      <c r="B249" s="3" t="s">
        <v>350</v>
      </c>
      <c r="C249" s="10"/>
    </row>
    <row r="250" spans="1:3" x14ac:dyDescent="0.45">
      <c r="A250" s="3" t="s">
        <v>354</v>
      </c>
      <c r="B250" s="3" t="s">
        <v>355</v>
      </c>
      <c r="C250" s="10"/>
    </row>
    <row r="251" spans="1:3" x14ac:dyDescent="0.45">
      <c r="A251" s="3" t="s">
        <v>592</v>
      </c>
      <c r="B251" s="3" t="s">
        <v>378</v>
      </c>
      <c r="C251" s="10"/>
    </row>
    <row r="252" spans="1:3" x14ac:dyDescent="0.45">
      <c r="A252" s="3" t="s">
        <v>593</v>
      </c>
      <c r="B252" s="3" t="s">
        <v>390</v>
      </c>
      <c r="C252" s="10"/>
    </row>
    <row r="253" spans="1:3" x14ac:dyDescent="0.45">
      <c r="A253" s="3" t="s">
        <v>594</v>
      </c>
      <c r="B253" s="3" t="s">
        <v>517</v>
      </c>
      <c r="C253" s="10"/>
    </row>
    <row r="254" spans="1:3" x14ac:dyDescent="0.45">
      <c r="A254" s="3" t="s">
        <v>382</v>
      </c>
      <c r="B254" s="3" t="s">
        <v>383</v>
      </c>
      <c r="C254" s="10"/>
    </row>
    <row r="255" spans="1:3" x14ac:dyDescent="0.45">
      <c r="A255" s="3" t="s">
        <v>403</v>
      </c>
      <c r="B255" s="3" t="s">
        <v>404</v>
      </c>
      <c r="C255" s="10"/>
    </row>
    <row r="256" spans="1:3" x14ac:dyDescent="0.45">
      <c r="A256" s="3" t="s">
        <v>418</v>
      </c>
      <c r="B256" s="3" t="s">
        <v>419</v>
      </c>
      <c r="C256" s="10"/>
    </row>
    <row r="257" spans="1:3" x14ac:dyDescent="0.45">
      <c r="A257" s="3" t="s">
        <v>421</v>
      </c>
      <c r="B257" s="3" t="s">
        <v>422</v>
      </c>
      <c r="C257" s="10"/>
    </row>
    <row r="258" spans="1:3" x14ac:dyDescent="0.45">
      <c r="A258" s="3" t="s">
        <v>443</v>
      </c>
      <c r="B258" s="3" t="s">
        <v>444</v>
      </c>
      <c r="C258" s="10"/>
    </row>
    <row r="259" spans="1:3" x14ac:dyDescent="0.45">
      <c r="A259" s="3" t="s">
        <v>445</v>
      </c>
      <c r="B259" s="3" t="s">
        <v>446</v>
      </c>
      <c r="C259" s="10"/>
    </row>
    <row r="260" spans="1:3" x14ac:dyDescent="0.45">
      <c r="A260" s="3" t="s">
        <v>432</v>
      </c>
      <c r="B260" s="3" t="s">
        <v>433</v>
      </c>
      <c r="C260" s="10"/>
    </row>
    <row r="261" spans="1:3" x14ac:dyDescent="0.45">
      <c r="A261" s="3" t="s">
        <v>479</v>
      </c>
      <c r="B261" s="3" t="s">
        <v>480</v>
      </c>
      <c r="C261" s="10"/>
    </row>
    <row r="262" spans="1:3" x14ac:dyDescent="0.45">
      <c r="A262" s="3" t="s">
        <v>455</v>
      </c>
      <c r="B262" s="3" t="s">
        <v>456</v>
      </c>
      <c r="C262" s="10"/>
    </row>
    <row r="263" spans="1:3" x14ac:dyDescent="0.45">
      <c r="A263" s="3" t="s">
        <v>520</v>
      </c>
      <c r="B263" s="3" t="s">
        <v>521</v>
      </c>
      <c r="C263" s="10"/>
    </row>
    <row r="264" spans="1:3" x14ac:dyDescent="0.45">
      <c r="A264" s="3" t="s">
        <v>477</v>
      </c>
      <c r="B264" s="3" t="s">
        <v>478</v>
      </c>
      <c r="C264" s="10"/>
    </row>
    <row r="265" spans="1:3" x14ac:dyDescent="0.45">
      <c r="A265" s="3" t="s">
        <v>473</v>
      </c>
      <c r="B265" s="3" t="s">
        <v>474</v>
      </c>
      <c r="C265" s="10"/>
    </row>
    <row r="266" spans="1:3" x14ac:dyDescent="0.45">
      <c r="A266" s="3" t="s">
        <v>595</v>
      </c>
      <c r="B266" s="3" t="s">
        <v>523</v>
      </c>
      <c r="C266" s="10"/>
    </row>
    <row r="267" spans="1:3" x14ac:dyDescent="0.45">
      <c r="A267" s="3" t="s">
        <v>534</v>
      </c>
      <c r="B267" s="3" t="s">
        <v>535</v>
      </c>
      <c r="C267" s="10"/>
    </row>
    <row r="268" spans="1:3" x14ac:dyDescent="0.45">
      <c r="A268" s="3" t="s">
        <v>551</v>
      </c>
      <c r="B268" s="3" t="s">
        <v>552</v>
      </c>
      <c r="C268" s="10"/>
    </row>
    <row r="269" spans="1:3" x14ac:dyDescent="0.45">
      <c r="C269" s="10"/>
    </row>
    <row r="270" spans="1:3" x14ac:dyDescent="0.45">
      <c r="C270" s="10"/>
    </row>
  </sheetData>
  <conditionalFormatting sqref="B221:B222">
    <cfRule type="duplicateValues" dxfId="9" priority="6"/>
    <cfRule type="duplicateValues" dxfId="8" priority="7"/>
    <cfRule type="duplicateValues" dxfId="7" priority="8"/>
    <cfRule type="duplicateValues" dxfId="6" priority="9"/>
  </conditionalFormatting>
  <conditionalFormatting sqref="B221:B268">
    <cfRule type="duplicateValues" dxfId="5" priority="10"/>
  </conditionalFormatting>
  <conditionalFormatting sqref="C225:C270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2025</vt:lpstr>
      <vt:lpstr>2015</vt:lpstr>
      <vt:lpstr>Sheet3</vt:lpstr>
      <vt:lpstr>Sheet4</vt:lpstr>
      <vt:lpstr>Sheet5</vt:lpstr>
      <vt:lpstr>Sheet6</vt:lpstr>
      <vt:lpstr>Sheet1</vt:lpstr>
      <vt:lpstr>List of economies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Grigoryan</dc:creator>
  <cp:lastModifiedBy>Arthur Grigoryan</cp:lastModifiedBy>
  <dcterms:created xsi:type="dcterms:W3CDTF">2026-02-14T16:32:53Z</dcterms:created>
  <dcterms:modified xsi:type="dcterms:W3CDTF">2026-02-18T10:50:48Z</dcterms:modified>
</cp:coreProperties>
</file>