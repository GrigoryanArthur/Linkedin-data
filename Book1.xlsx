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a9da4622382dea/Documents/Linkedin data/"/>
    </mc:Choice>
  </mc:AlternateContent>
  <xr:revisionPtr revIDLastSave="0" documentId="8_{0366D6B7-4840-4818-866D-18D7C491C0CD}" xr6:coauthVersionLast="47" xr6:coauthVersionMax="47" xr10:uidLastSave="{00000000-0000-0000-0000-000000000000}"/>
  <bookViews>
    <workbookView xWindow="-98" yWindow="-98" windowWidth="19396" windowHeight="11475" activeTab="3" xr2:uid="{513120C5-C302-43D0-9D14-32DF55737FE6}"/>
  </bookViews>
  <sheets>
    <sheet name="2025" sheetId="1" r:id="rId1"/>
    <sheet name="2015" sheetId="2" r:id="rId2"/>
    <sheet name="Sheet3" sheetId="3" r:id="rId3"/>
    <sheet name="Sheet4" sheetId="4" r:id="rId4"/>
  </sheets>
  <definedNames>
    <definedName name="_xlnm._FilterDatabase" localSheetId="2" hidden="1">Sheet3!$A$1:$E$98</definedName>
    <definedName name="_xlnm._FilterDatabase" localSheetId="3" hidden="1">Sheet4!$A$1:$G$86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16" i="4"/>
  <c r="G6" i="4"/>
  <c r="G7" i="4"/>
  <c r="G8" i="4"/>
  <c r="G9" i="4"/>
  <c r="G10" i="4"/>
  <c r="G11" i="4"/>
  <c r="G12" i="4"/>
  <c r="G13" i="4"/>
  <c r="G17" i="4"/>
  <c r="G14" i="4"/>
  <c r="G15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F56" i="4"/>
  <c r="F70" i="4"/>
  <c r="F75" i="4"/>
  <c r="F76" i="4"/>
  <c r="F35" i="4"/>
  <c r="F65" i="4"/>
  <c r="F51" i="4"/>
  <c r="F60" i="4"/>
  <c r="F55" i="4"/>
  <c r="F44" i="4"/>
  <c r="F32" i="4"/>
  <c r="F59" i="4"/>
  <c r="F18" i="4"/>
  <c r="F77" i="4"/>
  <c r="F30" i="4"/>
  <c r="F74" i="4"/>
  <c r="F72" i="4"/>
  <c r="F49" i="4"/>
  <c r="F29" i="4"/>
  <c r="F61" i="4"/>
  <c r="F63" i="4"/>
  <c r="F11" i="4"/>
  <c r="F58" i="4"/>
  <c r="F46" i="4"/>
  <c r="F40" i="4"/>
  <c r="F53" i="4"/>
  <c r="F45" i="4"/>
  <c r="F37" i="4"/>
  <c r="F67" i="4"/>
  <c r="F33" i="4"/>
  <c r="F24" i="4"/>
  <c r="F21" i="4"/>
  <c r="F19" i="4"/>
  <c r="F26" i="4"/>
  <c r="F27" i="4"/>
  <c r="F73" i="4"/>
  <c r="F17" i="4"/>
  <c r="F43" i="4"/>
  <c r="F54" i="4"/>
  <c r="F4" i="4"/>
  <c r="F50" i="4"/>
  <c r="F39" i="4"/>
  <c r="F62" i="4"/>
  <c r="F41" i="4"/>
  <c r="F3" i="4"/>
  <c r="F68" i="4"/>
  <c r="F10" i="4"/>
  <c r="F12" i="4"/>
  <c r="F13" i="4"/>
  <c r="F69" i="4"/>
  <c r="F5" i="4"/>
  <c r="F20" i="4"/>
  <c r="F9" i="4"/>
  <c r="F71" i="4"/>
  <c r="F64" i="4"/>
  <c r="F6" i="4"/>
  <c r="F23" i="4"/>
  <c r="F48" i="4"/>
  <c r="F38" i="4"/>
  <c r="F25" i="4"/>
  <c r="F34" i="4"/>
  <c r="F52" i="4"/>
  <c r="F8" i="4"/>
  <c r="F16" i="4"/>
  <c r="F31" i="4"/>
  <c r="F57" i="4"/>
  <c r="F7" i="4"/>
  <c r="F42" i="4"/>
  <c r="F66" i="4"/>
  <c r="F47" i="4"/>
  <c r="F15" i="4"/>
  <c r="F14" i="4"/>
  <c r="F28" i="4"/>
  <c r="F36" i="4"/>
  <c r="F22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3" i="3"/>
  <c r="B32" i="3"/>
  <c r="B17" i="3"/>
  <c r="B86" i="3"/>
  <c r="B64" i="3"/>
  <c r="B38" i="3"/>
  <c r="B20" i="3"/>
  <c r="B98" i="3"/>
  <c r="B89" i="3"/>
  <c r="B81" i="3"/>
  <c r="B73" i="3"/>
  <c r="B51" i="3"/>
  <c r="B43" i="3"/>
  <c r="B6" i="3"/>
  <c r="B59" i="3"/>
  <c r="B72" i="3"/>
  <c r="B29" i="3"/>
  <c r="B21" i="3"/>
  <c r="B5" i="3"/>
  <c r="B30" i="3"/>
  <c r="B4" i="3"/>
  <c r="B27" i="3"/>
  <c r="B80" i="3"/>
  <c r="B19" i="3"/>
  <c r="B9" i="3"/>
  <c r="B3" i="3"/>
  <c r="B15" i="3"/>
  <c r="B42" i="3"/>
  <c r="B75" i="3"/>
  <c r="B78" i="3"/>
  <c r="B70" i="3"/>
  <c r="B82" i="3"/>
  <c r="B53" i="3"/>
  <c r="B46" i="3"/>
  <c r="B92" i="3"/>
  <c r="B25" i="3"/>
  <c r="B97" i="3"/>
  <c r="B63" i="3"/>
  <c r="B61" i="3"/>
  <c r="B14" i="3"/>
  <c r="B96" i="3"/>
  <c r="B83" i="3"/>
  <c r="B39" i="3"/>
  <c r="B37" i="3"/>
  <c r="B62" i="3"/>
  <c r="B11" i="3"/>
  <c r="B23" i="3"/>
  <c r="B10" i="3"/>
  <c r="B35" i="3"/>
  <c r="B55" i="3"/>
  <c r="B67" i="3"/>
  <c r="B90" i="3"/>
  <c r="B48" i="3"/>
  <c r="B13" i="3"/>
  <c r="B28" i="3"/>
  <c r="B60" i="3"/>
  <c r="B8" i="3"/>
  <c r="B31" i="3"/>
  <c r="B58" i="3"/>
  <c r="B71" i="3"/>
  <c r="B74" i="3"/>
  <c r="B88" i="3"/>
  <c r="B41" i="3"/>
  <c r="B91" i="3"/>
  <c r="B77" i="3"/>
  <c r="B22" i="3"/>
  <c r="B34" i="3"/>
  <c r="B18" i="3"/>
  <c r="B50" i="3"/>
  <c r="B47" i="3"/>
  <c r="B16" i="3"/>
  <c r="B36" i="3"/>
  <c r="B94" i="3"/>
  <c r="B57" i="3"/>
  <c r="B56" i="3"/>
  <c r="B54" i="3"/>
  <c r="B85" i="3"/>
  <c r="B44" i="3"/>
  <c r="B68" i="3"/>
  <c r="B24" i="3"/>
  <c r="B7" i="3"/>
  <c r="B33" i="3"/>
  <c r="B87" i="3"/>
  <c r="B65" i="3"/>
  <c r="B66" i="3"/>
  <c r="B52" i="3"/>
  <c r="B93" i="3"/>
  <c r="B49" i="3"/>
  <c r="B12" i="3"/>
  <c r="B45" i="3"/>
  <c r="B40" i="3"/>
  <c r="B26" i="3"/>
  <c r="B76" i="3"/>
  <c r="B95" i="3"/>
  <c r="B84" i="3"/>
  <c r="B69" i="3"/>
  <c r="B79" i="3"/>
</calcChain>
</file>

<file path=xl/sharedStrings.xml><?xml version="1.0" encoding="utf-8"?>
<sst xmlns="http://schemas.openxmlformats.org/spreadsheetml/2006/main" count="1524" uniqueCount="571">
  <si>
    <t>Rank</t>
  </si>
  <si>
    <t>Country</t>
  </si>
  <si>
    <t>Price To Income Ratio</t>
  </si>
  <si>
    <t>Gross Rental Yield City Centre</t>
  </si>
  <si>
    <t>Gross Rental Yield Outside of Centre</t>
  </si>
  <si>
    <t>Price To Rent Ratio City Centre</t>
  </si>
  <si>
    <t>Price To Rent Ratio Outside Of City Centre</t>
  </si>
  <si>
    <t>Mortgage As A Percentage Of Income</t>
  </si>
  <si>
    <t>Affordability Index</t>
  </si>
  <si>
    <t>Syria</t>
  </si>
  <si>
    <t>Cuba</t>
  </si>
  <si>
    <t>Ethiopia</t>
  </si>
  <si>
    <t>Cameroon</t>
  </si>
  <si>
    <t>Sri Lanka</t>
  </si>
  <si>
    <t>Nepal</t>
  </si>
  <si>
    <t>Hong Kong (China)</t>
  </si>
  <si>
    <t>China</t>
  </si>
  <si>
    <t>Vietnam</t>
  </si>
  <si>
    <t>Thailand</t>
  </si>
  <si>
    <t>Singapore</t>
  </si>
  <si>
    <t>Philippines</t>
  </si>
  <si>
    <t>South Korea</t>
  </si>
  <si>
    <t>Taiwan</t>
  </si>
  <si>
    <t>Iran</t>
  </si>
  <si>
    <t>Armenia</t>
  </si>
  <si>
    <t>Mauritius</t>
  </si>
  <si>
    <t>Peru</t>
  </si>
  <si>
    <t>Egypt</t>
  </si>
  <si>
    <t>Colombia</t>
  </si>
  <si>
    <t>Argentina</t>
  </si>
  <si>
    <t>El Salvador</t>
  </si>
  <si>
    <t>Algeria</t>
  </si>
  <si>
    <t>Dominican Republic</t>
  </si>
  <si>
    <t>Serbia</t>
  </si>
  <si>
    <t>Chile</t>
  </si>
  <si>
    <t>Azerbaijan</t>
  </si>
  <si>
    <t>Albania</t>
  </si>
  <si>
    <t>Brazil</t>
  </si>
  <si>
    <t>Venezuela</t>
  </si>
  <si>
    <t>Lebanon</t>
  </si>
  <si>
    <t>Indonesia</t>
  </si>
  <si>
    <t>Portugal</t>
  </si>
  <si>
    <t>Russia</t>
  </si>
  <si>
    <t>Pakistan</t>
  </si>
  <si>
    <t>Slovakia</t>
  </si>
  <si>
    <t>Kyrgyzstan</t>
  </si>
  <si>
    <t>Israel</t>
  </si>
  <si>
    <t>Kosovo (Disputed Territory)</t>
  </si>
  <si>
    <t>Ukraine</t>
  </si>
  <si>
    <t>Czech Republic</t>
  </si>
  <si>
    <t>Uzbekistan</t>
  </si>
  <si>
    <t>Morocco</t>
  </si>
  <si>
    <t>Moldova</t>
  </si>
  <si>
    <t>Bosnia And Herzegovina</t>
  </si>
  <si>
    <t>Uruguay</t>
  </si>
  <si>
    <t>Slovenia</t>
  </si>
  <si>
    <t>Hungary</t>
  </si>
  <si>
    <t>Greece</t>
  </si>
  <si>
    <t>Montenegro</t>
  </si>
  <si>
    <t>Belarus</t>
  </si>
  <si>
    <t>Croatia</t>
  </si>
  <si>
    <t>Bangladesh</t>
  </si>
  <si>
    <t>Georgia</t>
  </si>
  <si>
    <t>Lithuania</t>
  </si>
  <si>
    <t>North Macedonia</t>
  </si>
  <si>
    <t>Tunisia</t>
  </si>
  <si>
    <t>Japan</t>
  </si>
  <si>
    <t>Bolivia</t>
  </si>
  <si>
    <t>Ecuador</t>
  </si>
  <si>
    <t>Mexico</t>
  </si>
  <si>
    <t>Austria</t>
  </si>
  <si>
    <t>Estonia</t>
  </si>
  <si>
    <t>Malta</t>
  </si>
  <si>
    <t>Panama</t>
  </si>
  <si>
    <t>Poland</t>
  </si>
  <si>
    <t>Switzerland</t>
  </si>
  <si>
    <t>India</t>
  </si>
  <si>
    <t>Turkey</t>
  </si>
  <si>
    <t>Romania</t>
  </si>
  <si>
    <t>Costa Rica</t>
  </si>
  <si>
    <t>France</t>
  </si>
  <si>
    <t>Canada</t>
  </si>
  <si>
    <t>Kazakhstan</t>
  </si>
  <si>
    <t>Italy</t>
  </si>
  <si>
    <t>Bulgaria</t>
  </si>
  <si>
    <t>Germany</t>
  </si>
  <si>
    <t>United Kingdom</t>
  </si>
  <si>
    <t>Malaysia</t>
  </si>
  <si>
    <t>Luxembourg</t>
  </si>
  <si>
    <t>Latvia</t>
  </si>
  <si>
    <t>Spain</t>
  </si>
  <si>
    <t>Iraq</t>
  </si>
  <si>
    <t>Norway</t>
  </si>
  <si>
    <t>Cyprus</t>
  </si>
  <si>
    <t>Australia</t>
  </si>
  <si>
    <t>Finland</t>
  </si>
  <si>
    <t>Sweden</t>
  </si>
  <si>
    <t>Netherlands</t>
  </si>
  <si>
    <t>New Zealand</t>
  </si>
  <si>
    <t>Kuwait</t>
  </si>
  <si>
    <t>United Arab Emirates</t>
  </si>
  <si>
    <t>Jordan</t>
  </si>
  <si>
    <t>Belgium</t>
  </si>
  <si>
    <t>Ireland</t>
  </si>
  <si>
    <t>Iceland</t>
  </si>
  <si>
    <t>Palestine</t>
  </si>
  <si>
    <t>Denmark</t>
  </si>
  <si>
    <t>Qatar</t>
  </si>
  <si>
    <t>Puerto Rico</t>
  </si>
  <si>
    <t>United States</t>
  </si>
  <si>
    <t>South Africa</t>
  </si>
  <si>
    <t>Oman</t>
  </si>
  <si>
    <t>Saudi Arabia</t>
  </si>
  <si>
    <t>Uganda</t>
  </si>
  <si>
    <t>Hong Kong</t>
  </si>
  <si>
    <t>Myanmar</t>
  </si>
  <si>
    <t>Ghana</t>
  </si>
  <si>
    <t>Cambodia</t>
  </si>
  <si>
    <t>Kenya</t>
  </si>
  <si>
    <t>Zimbabwe</t>
  </si>
  <si>
    <t>Botswana</t>
  </si>
  <si>
    <t>Nigeria</t>
  </si>
  <si>
    <t>Trinidad And Tobago</t>
  </si>
  <si>
    <t>Nicaragua</t>
  </si>
  <si>
    <t>Guatemala</t>
  </si>
  <si>
    <t>Bahrain</t>
  </si>
  <si>
    <t>Namibia</t>
  </si>
  <si>
    <t>Libya</t>
  </si>
  <si>
    <t>Mozambique</t>
  </si>
  <si>
    <t>Jamaica</t>
  </si>
  <si>
    <t>Bahamas</t>
  </si>
  <si>
    <t>Belize</t>
  </si>
  <si>
    <t>Honduras</t>
  </si>
  <si>
    <t>Tanzania</t>
  </si>
  <si>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</si>
  <si>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</si>
  <si>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</si>
  <si>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</si>
  <si>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</si>
  <si>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</si>
  <si>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</si>
  <si>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</si>
  <si>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</si>
  <si>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</si>
  <si>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</si>
  <si>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</si>
  <si>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</t>
  </si>
  <si>
    <t>Andorra</t>
  </si>
  <si>
    <t>AND</t>
  </si>
  <si>
    <t>Arab World</t>
  </si>
  <si>
    <t>ARB</t>
  </si>
  <si>
    <t>ARE</t>
  </si>
  <si>
    <t>ARG</t>
  </si>
  <si>
    <t>ARM</t>
  </si>
  <si>
    <t>American Samoa</t>
  </si>
  <si>
    <t>ASM</t>
  </si>
  <si>
    <t>Antigua and Barbuda</t>
  </si>
  <si>
    <t>ATG</t>
  </si>
  <si>
    <t>AUS</t>
  </si>
  <si>
    <t>AUT</t>
  </si>
  <si>
    <t>AZE</t>
  </si>
  <si>
    <t>Burundi</t>
  </si>
  <si>
    <t>BDI</t>
  </si>
  <si>
    <t>BEL</t>
  </si>
  <si>
    <t>Benin</t>
  </si>
  <si>
    <t>BEN</t>
  </si>
  <si>
    <t>Burkina Faso</t>
  </si>
  <si>
    <t>BFA</t>
  </si>
  <si>
    <t>BGD</t>
  </si>
  <si>
    <t>BGR</t>
  </si>
  <si>
    <t>BHR</t>
  </si>
  <si>
    <t>Bahamas, The</t>
  </si>
  <si>
    <t>BHS</t>
  </si>
  <si>
    <t>Bosnia and Herzegovina</t>
  </si>
  <si>
    <t>BIH</t>
  </si>
  <si>
    <t>BLR</t>
  </si>
  <si>
    <t>BLZ</t>
  </si>
  <si>
    <t>Bermuda</t>
  </si>
  <si>
    <t>BMU</t>
  </si>
  <si>
    <t>BOL</t>
  </si>
  <si>
    <t>BRA</t>
  </si>
  <si>
    <t>Barbados</t>
  </si>
  <si>
    <t>BRB</t>
  </si>
  <si>
    <t>Brunei Darussalam</t>
  </si>
  <si>
    <t>BRN</t>
  </si>
  <si>
    <t>Bhutan</t>
  </si>
  <si>
    <t>BTN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</si>
  <si>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</si>
  <si>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</si>
  <si>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</si>
  <si>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</si>
  <si>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</si>
  <si>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</si>
  <si>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</si>
  <si>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</si>
  <si>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</si>
  <si>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</si>
  <si>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CHN</t>
  </si>
  <si>
    <t>Cote d'Ivoire</t>
  </si>
  <si>
    <t>CIV</t>
  </si>
  <si>
    <t>CMR</t>
  </si>
  <si>
    <t>Congo, Dem. Rep.</t>
  </si>
  <si>
    <t>COD</t>
  </si>
  <si>
    <t>Congo, Rep.</t>
  </si>
  <si>
    <t>COG</t>
  </si>
  <si>
    <t>COL</t>
  </si>
  <si>
    <t>Comoros</t>
  </si>
  <si>
    <t>COM</t>
  </si>
  <si>
    <t>Cabo Verde</t>
  </si>
  <si>
    <t>CPV</t>
  </si>
  <si>
    <t>CRI</t>
  </si>
  <si>
    <t>Caribbean small states</t>
  </si>
  <si>
    <t>CSS</t>
  </si>
  <si>
    <t>CUB</t>
  </si>
  <si>
    <t>Curacao</t>
  </si>
  <si>
    <t>CUW</t>
  </si>
  <si>
    <t>Cayman Islands</t>
  </si>
  <si>
    <t>CYM</t>
  </si>
  <si>
    <t>CYP</t>
  </si>
  <si>
    <t>Czechia</t>
  </si>
  <si>
    <t>CZE</t>
  </si>
  <si>
    <t>DEU</t>
  </si>
  <si>
    <t>Djibouti</t>
  </si>
  <si>
    <t>DJI</t>
  </si>
  <si>
    <t>Dominica</t>
  </si>
  <si>
    <t>DMA</t>
  </si>
  <si>
    <t>DNK</t>
  </si>
  <si>
    <t>DOM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</si>
  <si>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</si>
  <si>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</si>
  <si>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</si>
  <si>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</si>
  <si>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</si>
  <si>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</si>
  <si>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</si>
  <si>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</si>
  <si>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</si>
  <si>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</si>
  <si>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</si>
  <si>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</t>
  </si>
  <si>
    <t>Egypt, Arab Rep.</t>
  </si>
  <si>
    <t>EGY</t>
  </si>
  <si>
    <t>Euro area</t>
  </si>
  <si>
    <t>EMU</t>
  </si>
  <si>
    <t>Eritrea</t>
  </si>
  <si>
    <t>ERI</t>
  </si>
  <si>
    <t>ESP</t>
  </si>
  <si>
    <t>EST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</si>
  <si>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</si>
  <si>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</si>
  <si>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</si>
  <si>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</si>
  <si>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</si>
  <si>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</si>
  <si>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</si>
  <si>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</si>
  <si>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</si>
  <si>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</si>
  <si>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</si>
  <si>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</si>
  <si>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</si>
  <si>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</si>
  <si>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</si>
  <si>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GBR</t>
  </si>
  <si>
    <t>GEO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</si>
  <si>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</si>
  <si>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</si>
  <si>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</si>
  <si>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</si>
  <si>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</si>
  <si>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</si>
  <si>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</si>
  <si>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</si>
  <si>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</si>
  <si>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</si>
  <si>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</si>
  <si>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</si>
  <si>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</si>
  <si>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</si>
  <si>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</si>
  <si>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</si>
  <si>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</si>
  <si>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</si>
  <si>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</si>
  <si>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</si>
  <si>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</si>
  <si>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</si>
  <si>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</si>
  <si>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</si>
  <si>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</si>
  <si>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HND</t>
  </si>
  <si>
    <t>Heavily indebted poor countries (HIPC)</t>
  </si>
  <si>
    <t>HPC</t>
  </si>
  <si>
    <t>HRV</t>
  </si>
  <si>
    <t>Haiti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</si>
  <si>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</si>
  <si>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</si>
  <si>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</si>
  <si>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</si>
  <si>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</si>
  <si>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</si>
  <si>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</si>
  <si>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</si>
  <si>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</si>
  <si>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</si>
  <si>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</si>
  <si>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</si>
  <si>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</si>
  <si>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</si>
  <si>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</si>
  <si>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</si>
  <si>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</si>
  <si>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</si>
  <si>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IRL</t>
  </si>
  <si>
    <t>Iran, Islamic Rep.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</si>
  <si>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</si>
  <si>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</si>
  <si>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</si>
  <si>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</si>
  <si>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</si>
  <si>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</si>
  <si>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</si>
  <si>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</si>
  <si>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</si>
  <si>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</si>
  <si>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Kyrgyz Republic</t>
  </si>
  <si>
    <t>KGZ</t>
  </si>
  <si>
    <t>KHM</t>
  </si>
  <si>
    <t>Kiribati</t>
  </si>
  <si>
    <t>KIR</t>
  </si>
  <si>
    <t>St. Kitts and Nevis</t>
  </si>
  <si>
    <t>KNA</t>
  </si>
  <si>
    <t>Korea, Rep.</t>
  </si>
  <si>
    <t>KOR</t>
  </si>
  <si>
    <t>KWT</t>
  </si>
  <si>
    <t>Latin America &amp; Caribbean (excluding high income)</t>
  </si>
  <si>
    <t>LAC</t>
  </si>
  <si>
    <t>Lao PDR</t>
  </si>
  <si>
    <t>LAO</t>
  </si>
  <si>
    <t>LBN</t>
  </si>
  <si>
    <t>Liberia</t>
  </si>
  <si>
    <t>LBR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</si>
  <si>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</si>
  <si>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</si>
  <si>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</si>
  <si>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</si>
  <si>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</si>
  <si>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</si>
  <si>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</si>
  <si>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</si>
  <si>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</si>
  <si>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</si>
  <si>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</si>
  <si>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</si>
  <si>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</si>
  <si>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</si>
  <si>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</si>
  <si>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</si>
  <si>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</si>
  <si>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</si>
  <si>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</si>
  <si>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</si>
  <si>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</si>
  <si>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</t>
  </si>
  <si>
    <t>LVA</t>
  </si>
  <si>
    <t>Macao SAR, China</t>
  </si>
  <si>
    <t>MAC</t>
  </si>
  <si>
    <t>St. Martin (French part)</t>
  </si>
  <si>
    <t>MAF</t>
  </si>
  <si>
    <t>MAR</t>
  </si>
  <si>
    <t>Monaco</t>
  </si>
  <si>
    <t>MCO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</si>
  <si>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</si>
  <si>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</si>
  <si>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</si>
  <si>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</si>
  <si>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</si>
  <si>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</si>
  <si>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</si>
  <si>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</t>
  </si>
  <si>
    <t>Marshall Islands</t>
  </si>
  <si>
    <t>MHL</t>
  </si>
  <si>
    <t>Middle income</t>
  </si>
  <si>
    <t>MIC</t>
  </si>
  <si>
    <t>MKD</t>
  </si>
  <si>
    <t>Mali</t>
  </si>
  <si>
    <t>MLI</t>
  </si>
  <si>
    <t>MLT</t>
  </si>
  <si>
    <t>MMR</t>
  </si>
  <si>
    <t>Middle East, North Africa, Afghanistan &amp; Pakistan (excluding high income)</t>
  </si>
  <si>
    <t>MNA</t>
  </si>
  <si>
    <t>MNE</t>
  </si>
  <si>
    <t>Mongolia</t>
  </si>
  <si>
    <t>MNG</t>
  </si>
  <si>
    <t>Northern Mariana Islands</t>
  </si>
  <si>
    <t>MNP</t>
  </si>
  <si>
    <t>MOZ</t>
  </si>
  <si>
    <t>Mauritania</t>
  </si>
  <si>
    <t>MRT</t>
  </si>
  <si>
    <t>MUS</t>
  </si>
  <si>
    <t>Malawi</t>
  </si>
  <si>
    <t>MWI</t>
  </si>
  <si>
    <t>MYS</t>
  </si>
  <si>
    <t>North America</t>
  </si>
  <si>
    <t>NAC</t>
  </si>
  <si>
    <t>NAM</t>
  </si>
  <si>
    <t>New Caledonia</t>
  </si>
  <si>
    <t>NCL</t>
  </si>
  <si>
    <t>Niger</t>
  </si>
  <si>
    <t>NER</t>
  </si>
  <si>
    <t>NGA</t>
  </si>
  <si>
    <t>NIC</t>
  </si>
  <si>
    <t>NLD</t>
  </si>
  <si>
    <t>NOR</t>
  </si>
  <si>
    <t>NPL</t>
  </si>
  <si>
    <t>Nauru</t>
  </si>
  <si>
    <t>NRU</t>
  </si>
  <si>
    <t>NZL</t>
  </si>
  <si>
    <t>OECD members</t>
  </si>
  <si>
    <t>OED</t>
  </si>
  <si>
    <t>OMN</t>
  </si>
  <si>
    <t>Other small states</t>
  </si>
  <si>
    <t>OSS</t>
  </si>
  <si>
    <t>PAK</t>
  </si>
  <si>
    <t>PAN</t>
  </si>
  <si>
    <t>PER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</si>
  <si>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</si>
  <si>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</si>
  <si>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</si>
  <si>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</si>
  <si>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</si>
  <si>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</si>
  <si>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</si>
  <si>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</si>
  <si>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</si>
  <si>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</si>
  <si>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</si>
  <si>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</si>
  <si>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</si>
  <si>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</si>
  <si>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</si>
  <si>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</si>
  <si>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</si>
  <si>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</si>
  <si>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</si>
  <si>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</si>
  <si>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</si>
  <si>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</si>
  <si>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</si>
  <si>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</t>
  </si>
  <si>
    <t>ROU</t>
  </si>
  <si>
    <t>Russian Federation</t>
  </si>
  <si>
    <t>RUS</t>
  </si>
  <si>
    <t>Rwanda</t>
  </si>
  <si>
    <t>RWA</t>
  </si>
  <si>
    <t>South Asia</t>
  </si>
  <si>
    <t>SAS</t>
  </si>
  <si>
    <t>SAU</t>
  </si>
  <si>
    <t>Sudan</t>
  </si>
  <si>
    <t>SDN</t>
  </si>
  <si>
    <t>Senegal</t>
  </si>
  <si>
    <t>SEN</t>
  </si>
  <si>
    <t>SGP</t>
  </si>
  <si>
    <t>Solomon Islands</t>
  </si>
  <si>
    <t>SLB</t>
  </si>
  <si>
    <t>Sierra Leone</t>
  </si>
  <si>
    <t>SLE</t>
  </si>
  <si>
    <t>SLV</t>
  </si>
  <si>
    <t>San Marino</t>
  </si>
  <si>
    <t>SMR</t>
  </si>
  <si>
    <t>Somalia, Fed. Rep.</t>
  </si>
  <si>
    <t>SOM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</si>
  <si>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</si>
  <si>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</si>
  <si>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</si>
  <si>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</si>
  <si>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</si>
  <si>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</si>
  <si>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</si>
  <si>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</si>
  <si>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</si>
  <si>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</si>
  <si>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</si>
  <si>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</si>
  <si>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</si>
  <si>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</si>
  <si>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</si>
  <si>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</si>
  <si>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</si>
  <si>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</si>
  <si>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</si>
  <si>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</si>
  <si>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</si>
  <si>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</si>
  <si>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</si>
  <si>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</si>
  <si>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</si>
  <si>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</si>
  <si>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</si>
  <si>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</si>
  <si>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</si>
  <si>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</si>
  <si>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</si>
  <si>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</si>
  <si>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</si>
  <si>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</si>
  <si>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</si>
  <si>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</si>
  <si>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</si>
  <si>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</si>
  <si>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</si>
  <si>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</si>
  <si>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</si>
  <si>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</si>
  <si>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</si>
  <si>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</si>
  <si>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</si>
  <si>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</si>
  <si>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</si>
  <si>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</si>
  <si>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</si>
  <si>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</si>
  <si>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</si>
  <si>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</si>
  <si>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</si>
  <si>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</si>
  <si>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</t>
  </si>
  <si>
    <t>Turkiye</t>
  </si>
  <si>
    <t>TUR</t>
  </si>
  <si>
    <t>Tuvalu</t>
  </si>
  <si>
    <t>TUV</t>
  </si>
  <si>
    <t>TZA</t>
  </si>
  <si>
    <t>UGA</t>
  </si>
  <si>
    <t>UKR</t>
  </si>
  <si>
    <t>Upper middle income</t>
  </si>
  <si>
    <t>UMC</t>
  </si>
  <si>
    <t>URY</t>
  </si>
  <si>
    <t>USA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</si>
  <si>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</si>
  <si>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</si>
  <si>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</si>
  <si>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</si>
  <si>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</si>
  <si>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</si>
  <si>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</si>
  <si>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</si>
  <si>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</si>
  <si>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</si>
  <si>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</si>
  <si>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</si>
  <si>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</si>
  <si>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</si>
  <si>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</si>
  <si>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</si>
  <si>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</si>
  <si>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</si>
  <si>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</si>
  <si>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</si>
  <si>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</si>
  <si>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ZAF</t>
  </si>
  <si>
    <t>Zambia</t>
  </si>
  <si>
    <t>ZMB</t>
  </si>
  <si>
    <t>ZWE</t>
  </si>
  <si>
    <t>2024</t>
  </si>
  <si>
    <t>GDP per capita</t>
  </si>
  <si>
    <t>2015</t>
  </si>
  <si>
    <t>Mortgage as a percentage of Income</t>
  </si>
  <si>
    <t>GDP growth</t>
  </si>
  <si>
    <t>Mortgage growth</t>
  </si>
  <si>
    <t>Countries that have doubled GDP and experienced house affordability</t>
  </si>
  <si>
    <t>Countries that doubled GDP but experience bubble in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</si>
</sst>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Sheet4!$G$2</c:f>
              <c:strCache>
                <c:ptCount val="1"/>
                <c:pt idx="0">
                  <c:v>Mortgage growth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Sheet4!$F$3:$F$15</c:f>
              <c:numCache>
                <c:formatCode>General</c:formatCode>
                <c:ptCount val="13"/>
                <c:pt idx="0">
                  <c:v>1.4531737522835169</c:v>
                </c:pt>
                <c:pt idx="1">
                  <c:v>1.3919204144508139</c:v>
                </c:pt>
                <c:pt idx="2">
                  <c:v>1.3459272263968463</c:v>
                </c:pt>
                <c:pt idx="3">
                  <c:v>1.3153599725636185</c:v>
                </c:pt>
                <c:pt idx="4">
                  <c:v>1.3052871606333025</c:v>
                </c:pt>
                <c:pt idx="5">
                  <c:v>1.2901780302964183</c:v>
                </c:pt>
                <c:pt idx="6">
                  <c:v>1.2570954754418611</c:v>
                </c:pt>
                <c:pt idx="7">
                  <c:v>1.2375872695891745</c:v>
                </c:pt>
                <c:pt idx="8">
                  <c:v>1.1255512203448301</c:v>
                </c:pt>
                <c:pt idx="9">
                  <c:v>1.1096305595236564</c:v>
                </c:pt>
                <c:pt idx="10">
                  <c:v>1.0571265640094292</c:v>
                </c:pt>
                <c:pt idx="11">
                  <c:v>1.0238921964259697</c:v>
                </c:pt>
                <c:pt idx="12">
                  <c:v>1.0132362442142089</c:v>
                </c:pt>
              </c:numCache>
            </c:numRef>
          </c:xVal>
          <c:yVal>
            <c:numRef>
              <c:f>Sheet4!$G$3:$G$15</c:f>
              <c:numCache>
                <c:formatCode>General</c:formatCode>
                <c:ptCount val="13"/>
                <c:pt idx="0">
                  <c:v>-0.13800000000000001</c:v>
                </c:pt>
                <c:pt idx="1">
                  <c:v>-0.23799999999999999</c:v>
                </c:pt>
                <c:pt idx="2">
                  <c:v>-0.10600000000000009</c:v>
                </c:pt>
                <c:pt idx="3">
                  <c:v>-0.60499999999999998</c:v>
                </c:pt>
                <c:pt idx="4">
                  <c:v>-0.43199999999999972</c:v>
                </c:pt>
                <c:pt idx="5">
                  <c:v>-0.46900000000000008</c:v>
                </c:pt>
                <c:pt idx="6">
                  <c:v>-8.8000000000000078E-2</c:v>
                </c:pt>
                <c:pt idx="7">
                  <c:v>-0.14200000000000013</c:v>
                </c:pt>
                <c:pt idx="8">
                  <c:v>-2.8000000000000025E-2</c:v>
                </c:pt>
                <c:pt idx="9">
                  <c:v>-0.2400000000000001</c:v>
                </c:pt>
                <c:pt idx="10">
                  <c:v>-6.6999999999999948E-2</c:v>
                </c:pt>
                <c:pt idx="11">
                  <c:v>-1.1779999999999999</c:v>
                </c:pt>
                <c:pt idx="12">
                  <c:v>-0.17700000000000005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26-4ACC-AFEC-9AF6B1A7A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072943"/>
        <c:axId val="1164074863"/>
      </c:scatterChart>
      <c:valAx>
        <c:axId val="116407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74863"/>
        <c:crosses val="autoZero"/>
        <c:crossBetween val="midCat"/>
      </c:valAx>
      <c:valAx>
        <c:axId val="116407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7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  <a:alpha val="51000"/>
                </a:schemeClr>
              </a:solidFill>
              <a:ln w="6350">
                <a:solidFill>
                  <a:schemeClr val="tx1">
                    <a:alpha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Sheet4!$B$3:$B$86</c:f>
              <c:numCache>
                <c:formatCode>General</c:formatCode>
                <c:ptCount val="84"/>
                <c:pt idx="0">
                  <c:v>49558.668912013651</c:v>
                </c:pt>
                <c:pt idx="1">
                  <c:v>42224.444535951698</c:v>
                </c:pt>
                <c:pt idx="2">
                  <c:v>27146.381474728154</c:v>
                </c:pt>
                <c:pt idx="3">
                  <c:v>34806.948319581694</c:v>
                </c:pt>
                <c:pt idx="4">
                  <c:v>28285.073280298224</c:v>
                </c:pt>
                <c:pt idx="5">
                  <c:v>9646.7698438325478</c:v>
                </c:pt>
                <c:pt idx="6">
                  <c:v>32781.014241203149</c:v>
                </c:pt>
                <c:pt idx="7">
                  <c:v>49645.745685441332</c:v>
                </c:pt>
                <c:pt idx="8">
                  <c:v>62312.07421875</c:v>
                </c:pt>
                <c:pt idx="9">
                  <c:v>23345.496800010747</c:v>
                </c:pt>
                <c:pt idx="10">
                  <c:v>11159.985647609126</c:v>
                </c:pt>
                <c:pt idx="11">
                  <c:v>18614.988069120322</c:v>
                </c:pt>
                <c:pt idx="12">
                  <c:v>27104.870267746301</c:v>
                </c:pt>
                <c:pt idx="13">
                  <c:v>22823.17952556931</c:v>
                </c:pt>
                <c:pt idx="14">
                  <c:v>55285.899193430414</c:v>
                </c:pt>
                <c:pt idx="15">
                  <c:v>71017.774425871685</c:v>
                </c:pt>
                <c:pt idx="16">
                  <c:v>43394.273282231392</c:v>
                </c:pt>
                <c:pt idx="17">
                  <c:v>26986.568596749126</c:v>
                </c:pt>
                <c:pt idx="18">
                  <c:v>51262.510575688393</c:v>
                </c:pt>
                <c:pt idx="19">
                  <c:v>18550.462890625</c:v>
                </c:pt>
                <c:pt idx="20">
                  <c:v>27541.662528338416</c:v>
                </c:pt>
                <c:pt idx="21">
                  <c:v>57186.371353817427</c:v>
                </c:pt>
                <c:pt idx="22">
                  <c:v>40890.931769440824</c:v>
                </c:pt>
                <c:pt idx="23">
                  <c:v>48552.47080925294</c:v>
                </c:pt>
                <c:pt idx="24">
                  <c:v>31106.764355672858</c:v>
                </c:pt>
                <c:pt idx="25">
                  <c:v>11878.552870684822</c:v>
                </c:pt>
                <c:pt idx="26">
                  <c:v>51679.888380752695</c:v>
                </c:pt>
                <c:pt idx="27">
                  <c:v>84256.845457311152</c:v>
                </c:pt>
                <c:pt idx="28">
                  <c:v>11794.137548849178</c:v>
                </c:pt>
                <c:pt idx="29">
                  <c:v>86173.629084173808</c:v>
                </c:pt>
                <c:pt idx="30">
                  <c:v>49968.710827837298</c:v>
                </c:pt>
                <c:pt idx="31">
                  <c:v>22349.436440122994</c:v>
                </c:pt>
                <c:pt idx="32">
                  <c:v>81878.234984918134</c:v>
                </c:pt>
                <c:pt idx="33">
                  <c:v>13264.027090968028</c:v>
                </c:pt>
                <c:pt idx="34">
                  <c:v>44327.209780827565</c:v>
                </c:pt>
                <c:pt idx="35">
                  <c:v>25088.999375713367</c:v>
                </c:pt>
                <c:pt idx="36">
                  <c:v>62014.26751536892</c:v>
                </c:pt>
                <c:pt idx="37">
                  <c:v>57965.294813883731</c:v>
                </c:pt>
                <c:pt idx="38">
                  <c:v>36417.874162496009</c:v>
                </c:pt>
                <c:pt idx="39">
                  <c:v>16448.275517955855</c:v>
                </c:pt>
                <c:pt idx="40">
                  <c:v>36181.156616977023</c:v>
                </c:pt>
                <c:pt idx="41">
                  <c:v>73514.483104525832</c:v>
                </c:pt>
                <c:pt idx="42">
                  <c:v>57235.776324413557</c:v>
                </c:pt>
                <c:pt idx="43">
                  <c:v>38779.283044225274</c:v>
                </c:pt>
                <c:pt idx="44">
                  <c:v>31839.759753552396</c:v>
                </c:pt>
                <c:pt idx="45">
                  <c:v>24712.06585751352</c:v>
                </c:pt>
                <c:pt idx="46">
                  <c:v>72111.184462812598</c:v>
                </c:pt>
                <c:pt idx="47">
                  <c:v>14464.31869281728</c:v>
                </c:pt>
                <c:pt idx="48">
                  <c:v>65378.384185972063</c:v>
                </c:pt>
                <c:pt idx="49">
                  <c:v>17802.418249897237</c:v>
                </c:pt>
                <c:pt idx="50">
                  <c:v>62556.918104540004</c:v>
                </c:pt>
                <c:pt idx="51">
                  <c:v>41369.422541498956</c:v>
                </c:pt>
                <c:pt idx="52">
                  <c:v>73551.934769683605</c:v>
                </c:pt>
                <c:pt idx="53">
                  <c:v>85809.900384635912</c:v>
                </c:pt>
                <c:pt idx="54">
                  <c:v>22338.476564063538</c:v>
                </c:pt>
                <c:pt idx="55">
                  <c:v>73911.43966313597</c:v>
                </c:pt>
                <c:pt idx="56">
                  <c:v>55551.143658637026</c:v>
                </c:pt>
                <c:pt idx="57">
                  <c:v>96497.694797132295</c:v>
                </c:pt>
                <c:pt idx="58">
                  <c:v>71844.912988057898</c:v>
                </c:pt>
                <c:pt idx="59">
                  <c:v>12877.635118437232</c:v>
                </c:pt>
                <c:pt idx="60">
                  <c:v>62009.490776536586</c:v>
                </c:pt>
                <c:pt idx="61">
                  <c:v>15840.266856741184</c:v>
                </c:pt>
                <c:pt idx="62">
                  <c:v>64610.379517197114</c:v>
                </c:pt>
                <c:pt idx="63">
                  <c:v>6252.1154319955858</c:v>
                </c:pt>
                <c:pt idx="64">
                  <c:v>26185.356471325278</c:v>
                </c:pt>
                <c:pt idx="65">
                  <c:v>14521.008093763836</c:v>
                </c:pt>
                <c:pt idx="66">
                  <c:v>10415.1240234375</c:v>
                </c:pt>
                <c:pt idx="67">
                  <c:v>71375.372789028523</c:v>
                </c:pt>
                <c:pt idx="68">
                  <c:v>17620.742395612582</c:v>
                </c:pt>
                <c:pt idx="69">
                  <c:v>52039.171655161132</c:v>
                </c:pt>
                <c:pt idx="70">
                  <c:v>10821.490976531695</c:v>
                </c:pt>
                <c:pt idx="71">
                  <c:v>52443.596922362623</c:v>
                </c:pt>
                <c:pt idx="72">
                  <c:v>41740.16585300117</c:v>
                </c:pt>
                <c:pt idx="73">
                  <c:v>15456.19899336581</c:v>
                </c:pt>
                <c:pt idx="74">
                  <c:v>79228.73880127602</c:v>
                </c:pt>
              </c:numCache>
            </c:numRef>
          </c:xVal>
          <c:yVal>
            <c:numRef>
              <c:f>Sheet4!$C$3:$C$86</c:f>
              <c:numCache>
                <c:formatCode>General</c:formatCode>
                <c:ptCount val="84"/>
                <c:pt idx="0">
                  <c:v>0.95200000000000007</c:v>
                </c:pt>
                <c:pt idx="1">
                  <c:v>0.69200000000000006</c:v>
                </c:pt>
                <c:pt idx="2">
                  <c:v>1.278</c:v>
                </c:pt>
                <c:pt idx="3">
                  <c:v>1.097</c:v>
                </c:pt>
                <c:pt idx="4">
                  <c:v>1.6540000000000001</c:v>
                </c:pt>
                <c:pt idx="5">
                  <c:v>1.4709999999999999</c:v>
                </c:pt>
                <c:pt idx="6">
                  <c:v>1.4650000000000001</c:v>
                </c:pt>
                <c:pt idx="7">
                  <c:v>0.95799999999999996</c:v>
                </c:pt>
                <c:pt idx="8">
                  <c:v>0.61199999999999999</c:v>
                </c:pt>
                <c:pt idx="9">
                  <c:v>0.997</c:v>
                </c:pt>
                <c:pt idx="10">
                  <c:v>1.177</c:v>
                </c:pt>
                <c:pt idx="11">
                  <c:v>1.4950000000000001</c:v>
                </c:pt>
                <c:pt idx="12">
                  <c:v>2.129</c:v>
                </c:pt>
                <c:pt idx="13">
                  <c:v>3.0830000000000002</c:v>
                </c:pt>
                <c:pt idx="14">
                  <c:v>0.91900000000000004</c:v>
                </c:pt>
                <c:pt idx="15">
                  <c:v>0.86099999999999999</c:v>
                </c:pt>
                <c:pt idx="16">
                  <c:v>0.6409999999999999</c:v>
                </c:pt>
                <c:pt idx="17">
                  <c:v>0.96499999999999997</c:v>
                </c:pt>
                <c:pt idx="18">
                  <c:v>1.0209999999999999</c:v>
                </c:pt>
                <c:pt idx="19">
                  <c:v>2.5329999999999999</c:v>
                </c:pt>
                <c:pt idx="20">
                  <c:v>2.3490000000000002</c:v>
                </c:pt>
                <c:pt idx="21">
                  <c:v>0.94</c:v>
                </c:pt>
                <c:pt idx="22">
                  <c:v>1.7730000000000001</c:v>
                </c:pt>
                <c:pt idx="23">
                  <c:v>1.2709999999999999</c:v>
                </c:pt>
                <c:pt idx="24">
                  <c:v>1.2250000000000001</c:v>
                </c:pt>
                <c:pt idx="25">
                  <c:v>3.077</c:v>
                </c:pt>
                <c:pt idx="26">
                  <c:v>1.155</c:v>
                </c:pt>
                <c:pt idx="27">
                  <c:v>0.746</c:v>
                </c:pt>
                <c:pt idx="28">
                  <c:v>2.1150000000000002</c:v>
                </c:pt>
                <c:pt idx="29">
                  <c:v>0.57200000000000006</c:v>
                </c:pt>
                <c:pt idx="30">
                  <c:v>0.91400000000000003</c:v>
                </c:pt>
                <c:pt idx="31">
                  <c:v>2.6180000000000003</c:v>
                </c:pt>
                <c:pt idx="32">
                  <c:v>0.48100000000000004</c:v>
                </c:pt>
                <c:pt idx="33">
                  <c:v>1.9590000000000001</c:v>
                </c:pt>
                <c:pt idx="34">
                  <c:v>0.99199999999999999</c:v>
                </c:pt>
                <c:pt idx="35">
                  <c:v>1.6780000000000002</c:v>
                </c:pt>
                <c:pt idx="36">
                  <c:v>0.72699999999999998</c:v>
                </c:pt>
                <c:pt idx="37">
                  <c:v>0.59399999999999997</c:v>
                </c:pt>
                <c:pt idx="38">
                  <c:v>1.141</c:v>
                </c:pt>
                <c:pt idx="39">
                  <c:v>1.633</c:v>
                </c:pt>
                <c:pt idx="40">
                  <c:v>1.2629999999999999</c:v>
                </c:pt>
                <c:pt idx="41">
                  <c:v>0.48</c:v>
                </c:pt>
                <c:pt idx="42">
                  <c:v>1.0649999999999999</c:v>
                </c:pt>
                <c:pt idx="43">
                  <c:v>0.6409999999999999</c:v>
                </c:pt>
                <c:pt idx="44">
                  <c:v>1.5919999999999999</c:v>
                </c:pt>
                <c:pt idx="45">
                  <c:v>2.1339999999999999</c:v>
                </c:pt>
                <c:pt idx="46">
                  <c:v>0.71900000000000008</c:v>
                </c:pt>
                <c:pt idx="47">
                  <c:v>0.86900000000000011</c:v>
                </c:pt>
                <c:pt idx="48">
                  <c:v>0.56700000000000006</c:v>
                </c:pt>
                <c:pt idx="49">
                  <c:v>2.1840000000000002</c:v>
                </c:pt>
                <c:pt idx="50">
                  <c:v>0.72499999999999998</c:v>
                </c:pt>
                <c:pt idx="51">
                  <c:v>0.98799999999999999</c:v>
                </c:pt>
                <c:pt idx="52">
                  <c:v>0.64599999999999991</c:v>
                </c:pt>
                <c:pt idx="53">
                  <c:v>0.30099999999999999</c:v>
                </c:pt>
                <c:pt idx="54">
                  <c:v>1.8869999999999998</c:v>
                </c:pt>
                <c:pt idx="55">
                  <c:v>0.81200000000000006</c:v>
                </c:pt>
                <c:pt idx="56">
                  <c:v>0.67</c:v>
                </c:pt>
                <c:pt idx="57">
                  <c:v>0.69599999999999995</c:v>
                </c:pt>
                <c:pt idx="58">
                  <c:v>0.58599999999999997</c:v>
                </c:pt>
                <c:pt idx="59">
                  <c:v>1.1459999999999999</c:v>
                </c:pt>
                <c:pt idx="60">
                  <c:v>0.74199999999999999</c:v>
                </c:pt>
                <c:pt idx="61">
                  <c:v>1.375</c:v>
                </c:pt>
                <c:pt idx="62">
                  <c:v>0.92099999999999993</c:v>
                </c:pt>
                <c:pt idx="63">
                  <c:v>2.9260000000000002</c:v>
                </c:pt>
                <c:pt idx="64">
                  <c:v>1.5</c:v>
                </c:pt>
                <c:pt idx="65">
                  <c:v>1.5319999999999998</c:v>
                </c:pt>
                <c:pt idx="66">
                  <c:v>1.0580000000000001</c:v>
                </c:pt>
                <c:pt idx="67">
                  <c:v>0.24</c:v>
                </c:pt>
                <c:pt idx="68">
                  <c:v>1.476</c:v>
                </c:pt>
                <c:pt idx="69">
                  <c:v>0.72900000000000009</c:v>
                </c:pt>
                <c:pt idx="70">
                  <c:v>0.67299999999999993</c:v>
                </c:pt>
                <c:pt idx="71">
                  <c:v>0.60699999999999998</c:v>
                </c:pt>
                <c:pt idx="72">
                  <c:v>0.24600000000000002</c:v>
                </c:pt>
                <c:pt idx="73">
                  <c:v>0.41600000000000004</c:v>
                </c:pt>
                <c:pt idx="74">
                  <c:v>0.53900000000000003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91-41A9-875B-F1FD5091EAA1}"/>
            </c:ext>
          </c:extLst>
        </c:ser>
        <c:ser>
          <c:idx val="1"/>
          <c:order val="1"/>
          <c:tx>
            <c:strRef>
              <c:f>Sheet4!$D$1</c:f>
              <c:strCache>
                <c:ptCount val="1"/>
                <c:pt idx="0">
                  <c:v>2015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>
                  <a:alpha val="10000"/>
                </a:srgbClr>
              </a:solidFill>
              <a:ln w="9525">
                <a:solidFill>
                  <a:schemeClr val="tx1">
                    <a:alpha val="1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Sheet4!$D$3:$D$86</c:f>
              <c:numCache>
                <c:formatCode>General</c:formatCode>
                <c:ptCount val="84"/>
                <c:pt idx="0">
                  <c:v>20201.858456166166</c:v>
                </c:pt>
                <c:pt idx="1">
                  <c:v>17652.947096756332</c:v>
                </c:pt>
                <c:pt idx="2">
                  <c:v>11571.706559893075</c:v>
                </c:pt>
                <c:pt idx="3">
                  <c:v>15033.061265649618</c:v>
                </c:pt>
                <c:pt idx="4">
                  <c:v>12269.652893276785</c:v>
                </c:pt>
                <c:pt idx="5">
                  <c:v>4212.2357808942761</c:v>
                </c:pt>
                <c:pt idx="6">
                  <c:v>14523.53903407022</c:v>
                </c:pt>
                <c:pt idx="7">
                  <c:v>22187.17739422802</c:v>
                </c:pt>
                <c:pt idx="8">
                  <c:v>29315.724609375</c:v>
                </c:pt>
                <c:pt idx="9">
                  <c:v>11066.154068834705</c:v>
                </c:pt>
                <c:pt idx="10">
                  <c:v>5425.0359909104618</c:v>
                </c:pt>
                <c:pt idx="11">
                  <c:v>9197.6183820427232</c:v>
                </c:pt>
                <c:pt idx="12">
                  <c:v>13463.333151110473</c:v>
                </c:pt>
                <c:pt idx="13">
                  <c:v>9756.8408483602598</c:v>
                </c:pt>
                <c:pt idx="14">
                  <c:v>26948.591937164463</c:v>
                </c:pt>
                <c:pt idx="15">
                  <c:v>35844.478646050586</c:v>
                </c:pt>
                <c:pt idx="16">
                  <c:v>22543.918316410469</c:v>
                </c:pt>
                <c:pt idx="17">
                  <c:v>14045.071137177483</c:v>
                </c:pt>
                <c:pt idx="18">
                  <c:v>26988.1069013509</c:v>
                </c:pt>
                <c:pt idx="19">
                  <c:v>9921.833984375</c:v>
                </c:pt>
                <c:pt idx="20">
                  <c:v>14804.097406965937</c:v>
                </c:pt>
                <c:pt idx="21">
                  <c:v>31336.204385888104</c:v>
                </c:pt>
                <c:pt idx="22">
                  <c:v>22484.365138260669</c:v>
                </c:pt>
                <c:pt idx="23">
                  <c:v>26937.732081886443</c:v>
                </c:pt>
                <c:pt idx="24">
                  <c:v>17525.140462514501</c:v>
                </c:pt>
                <c:pt idx="25">
                  <c:v>6799.5733284218295</c:v>
                </c:pt>
                <c:pt idx="26">
                  <c:v>29608.007151395595</c:v>
                </c:pt>
                <c:pt idx="27">
                  <c:v>49201.064096455295</c:v>
                </c:pt>
                <c:pt idx="28">
                  <c:v>6894.2670221793451</c:v>
                </c:pt>
                <c:pt idx="29">
                  <c:v>50956.693094218521</c:v>
                </c:pt>
                <c:pt idx="30">
                  <c:v>29712.629947372814</c:v>
                </c:pt>
                <c:pt idx="31">
                  <c:v>13332.055504821143</c:v>
                </c:pt>
                <c:pt idx="32">
                  <c:v>48897.209977661121</c:v>
                </c:pt>
                <c:pt idx="33">
                  <c:v>7933.7369785899909</c:v>
                </c:pt>
                <c:pt idx="34">
                  <c:v>26607.725679697571</c:v>
                </c:pt>
                <c:pt idx="35">
                  <c:v>15075.272634791074</c:v>
                </c:pt>
                <c:pt idx="36">
                  <c:v>37384.37964554059</c:v>
                </c:pt>
                <c:pt idx="37">
                  <c:v>35228.6333036223</c:v>
                </c:pt>
                <c:pt idx="38">
                  <c:v>22168.611418967605</c:v>
                </c:pt>
                <c:pt idx="39">
                  <c:v>10027.537299602549</c:v>
                </c:pt>
                <c:pt idx="40">
                  <c:v>22468.312574554722</c:v>
                </c:pt>
                <c:pt idx="41">
                  <c:v>46071.914889496016</c:v>
                </c:pt>
                <c:pt idx="42">
                  <c:v>35870.792715630116</c:v>
                </c:pt>
                <c:pt idx="43">
                  <c:v>24526.394271601155</c:v>
                </c:pt>
                <c:pt idx="44">
                  <c:v>20269.523509561048</c:v>
                </c:pt>
                <c:pt idx="45">
                  <c:v>15791.171476220708</c:v>
                </c:pt>
                <c:pt idx="46">
                  <c:v>46464.586762792911</c:v>
                </c:pt>
                <c:pt idx="47">
                  <c:v>9334.4660486631528</c:v>
                </c:pt>
                <c:pt idx="48">
                  <c:v>42257.859379129681</c:v>
                </c:pt>
                <c:pt idx="49">
                  <c:v>11600.387399286728</c:v>
                </c:pt>
                <c:pt idx="50">
                  <c:v>40905.17677509936</c:v>
                </c:pt>
                <c:pt idx="51">
                  <c:v>27245.278840263127</c:v>
                </c:pt>
                <c:pt idx="52">
                  <c:v>48545.40072196204</c:v>
                </c:pt>
                <c:pt idx="53">
                  <c:v>56849.46979231594</c:v>
                </c:pt>
                <c:pt idx="54">
                  <c:v>14821.438317518334</c:v>
                </c:pt>
                <c:pt idx="55">
                  <c:v>49549.316231144054</c:v>
                </c:pt>
                <c:pt idx="56">
                  <c:v>37513.296387244161</c:v>
                </c:pt>
                <c:pt idx="57">
                  <c:v>65265.045733559971</c:v>
                </c:pt>
                <c:pt idx="58">
                  <c:v>48772.069605727731</c:v>
                </c:pt>
                <c:pt idx="59">
                  <c:v>8757.3177711540648</c:v>
                </c:pt>
                <c:pt idx="60">
                  <c:v>42515.278865824046</c:v>
                </c:pt>
                <c:pt idx="61">
                  <c:v>10877.750746138814</c:v>
                </c:pt>
                <c:pt idx="62">
                  <c:v>44668.091281430337</c:v>
                </c:pt>
                <c:pt idx="63">
                  <c:v>4480.2631346098487</c:v>
                </c:pt>
                <c:pt idx="64">
                  <c:v>19071.444419646581</c:v>
                </c:pt>
                <c:pt idx="65">
                  <c:v>10782.543838244115</c:v>
                </c:pt>
                <c:pt idx="66">
                  <c:v>7799.09228515625</c:v>
                </c:pt>
                <c:pt idx="67">
                  <c:v>53930.827387262187</c:v>
                </c:pt>
                <c:pt idx="68">
                  <c:v>13807.351584147766</c:v>
                </c:pt>
                <c:pt idx="69">
                  <c:v>40898.806973960003</c:v>
                </c:pt>
                <c:pt idx="70">
                  <c:v>8967.0799583780827</c:v>
                </c:pt>
                <c:pt idx="71">
                  <c:v>45267.308534745178</c:v>
                </c:pt>
                <c:pt idx="72">
                  <c:v>36058.166608478794</c:v>
                </c:pt>
                <c:pt idx="73">
                  <c:v>13397.523481334631</c:v>
                </c:pt>
                <c:pt idx="74">
                  <c:v>73986.063639594504</c:v>
                </c:pt>
              </c:numCache>
            </c:numRef>
          </c:xVal>
          <c:yVal>
            <c:numRef>
              <c:f>Sheet4!$E$3:$E$86</c:f>
              <c:numCache>
                <c:formatCode>General</c:formatCode>
                <c:ptCount val="84"/>
                <c:pt idx="0">
                  <c:v>1.0900000000000001</c:v>
                </c:pt>
                <c:pt idx="1">
                  <c:v>0.93</c:v>
                </c:pt>
                <c:pt idx="2">
                  <c:v>1.3840000000000001</c:v>
                </c:pt>
                <c:pt idx="3">
                  <c:v>1.702</c:v>
                </c:pt>
                <c:pt idx="4">
                  <c:v>2.0859999999999999</c:v>
                </c:pt>
                <c:pt idx="5">
                  <c:v>1.94</c:v>
                </c:pt>
                <c:pt idx="6">
                  <c:v>1.5530000000000002</c:v>
                </c:pt>
                <c:pt idx="7">
                  <c:v>1.1000000000000001</c:v>
                </c:pt>
                <c:pt idx="8">
                  <c:v>0.64</c:v>
                </c:pt>
                <c:pt idx="9">
                  <c:v>1.2370000000000001</c:v>
                </c:pt>
                <c:pt idx="10">
                  <c:v>1.244</c:v>
                </c:pt>
                <c:pt idx="11">
                  <c:v>2.673</c:v>
                </c:pt>
                <c:pt idx="12">
                  <c:v>2.306</c:v>
                </c:pt>
                <c:pt idx="13">
                  <c:v>1.974</c:v>
                </c:pt>
                <c:pt idx="14">
                  <c:v>0.875</c:v>
                </c:pt>
                <c:pt idx="15">
                  <c:v>0.498</c:v>
                </c:pt>
                <c:pt idx="16">
                  <c:v>0.83499999999999996</c:v>
                </c:pt>
                <c:pt idx="17">
                  <c:v>1.4809999999999999</c:v>
                </c:pt>
                <c:pt idx="18">
                  <c:v>0.83099999999999996</c:v>
                </c:pt>
                <c:pt idx="19">
                  <c:v>3.4930000000000003</c:v>
                </c:pt>
                <c:pt idx="20">
                  <c:v>1.7190000000000001</c:v>
                </c:pt>
                <c:pt idx="21">
                  <c:v>0.79599999999999993</c:v>
                </c:pt>
                <c:pt idx="22">
                  <c:v>1.867</c:v>
                </c:pt>
                <c:pt idx="23">
                  <c:v>0.84</c:v>
                </c:pt>
                <c:pt idx="24">
                  <c:v>0.84299999999999997</c:v>
                </c:pt>
                <c:pt idx="25">
                  <c:v>2.7749999999999999</c:v>
                </c:pt>
                <c:pt idx="26">
                  <c:v>0.61899999999999999</c:v>
                </c:pt>
                <c:pt idx="27">
                  <c:v>0.52700000000000002</c:v>
                </c:pt>
                <c:pt idx="28">
                  <c:v>1.986</c:v>
                </c:pt>
                <c:pt idx="29">
                  <c:v>0.46100000000000002</c:v>
                </c:pt>
                <c:pt idx="30">
                  <c:v>0.78099999999999992</c:v>
                </c:pt>
                <c:pt idx="31">
                  <c:v>1.8859999999999999</c:v>
                </c:pt>
                <c:pt idx="32">
                  <c:v>0.34299999999999997</c:v>
                </c:pt>
                <c:pt idx="33">
                  <c:v>3.3610000000000002</c:v>
                </c:pt>
                <c:pt idx="34">
                  <c:v>0.753</c:v>
                </c:pt>
                <c:pt idx="35">
                  <c:v>1.857</c:v>
                </c:pt>
                <c:pt idx="36">
                  <c:v>0.94099999999999995</c:v>
                </c:pt>
                <c:pt idx="37">
                  <c:v>0.66400000000000003</c:v>
                </c:pt>
                <c:pt idx="38">
                  <c:v>1.085</c:v>
                </c:pt>
                <c:pt idx="39">
                  <c:v>2.1739999999999999</c:v>
                </c:pt>
                <c:pt idx="40">
                  <c:v>0.877</c:v>
                </c:pt>
                <c:pt idx="41">
                  <c:v>0.45899999999999996</c:v>
                </c:pt>
                <c:pt idx="42">
                  <c:v>0.68900000000000006</c:v>
                </c:pt>
                <c:pt idx="43">
                  <c:v>0.64800000000000002</c:v>
                </c:pt>
                <c:pt idx="44">
                  <c:v>2.2880000000000003</c:v>
                </c:pt>
                <c:pt idx="45">
                  <c:v>1.7949999999999999</c:v>
                </c:pt>
                <c:pt idx="46">
                  <c:v>0.59299999999999997</c:v>
                </c:pt>
                <c:pt idx="47">
                  <c:v>0.93200000000000005</c:v>
                </c:pt>
                <c:pt idx="48">
                  <c:v>0.435</c:v>
                </c:pt>
                <c:pt idx="49">
                  <c:v>1.8980000000000001</c:v>
                </c:pt>
                <c:pt idx="50">
                  <c:v>0.66700000000000004</c:v>
                </c:pt>
                <c:pt idx="51">
                  <c:v>0.88800000000000001</c:v>
                </c:pt>
                <c:pt idx="52">
                  <c:v>0.44299999999999995</c:v>
                </c:pt>
                <c:pt idx="53">
                  <c:v>0.19399999999999998</c:v>
                </c:pt>
                <c:pt idx="54">
                  <c:v>2.0059999999999998</c:v>
                </c:pt>
                <c:pt idx="55">
                  <c:v>0.64300000000000002</c:v>
                </c:pt>
                <c:pt idx="56">
                  <c:v>0.49099999999999999</c:v>
                </c:pt>
                <c:pt idx="57">
                  <c:v>0.44</c:v>
                </c:pt>
                <c:pt idx="58">
                  <c:v>0.61899999999999999</c:v>
                </c:pt>
                <c:pt idx="59">
                  <c:v>0.94499999999999995</c:v>
                </c:pt>
                <c:pt idx="60">
                  <c:v>0.63400000000000001</c:v>
                </c:pt>
                <c:pt idx="61">
                  <c:v>1.6769999999999998</c:v>
                </c:pt>
                <c:pt idx="62">
                  <c:v>0.379</c:v>
                </c:pt>
                <c:pt idx="63">
                  <c:v>2.1819999999999999</c:v>
                </c:pt>
                <c:pt idx="64">
                  <c:v>0.77300000000000002</c:v>
                </c:pt>
                <c:pt idx="65">
                  <c:v>1.093</c:v>
                </c:pt>
                <c:pt idx="66">
                  <c:v>1.36</c:v>
                </c:pt>
                <c:pt idx="67">
                  <c:v>0.23499999999999999</c:v>
                </c:pt>
                <c:pt idx="68">
                  <c:v>1.615</c:v>
                </c:pt>
                <c:pt idx="69">
                  <c:v>0.55799999999999994</c:v>
                </c:pt>
                <c:pt idx="70">
                  <c:v>0.875</c:v>
                </c:pt>
                <c:pt idx="71">
                  <c:v>0.54700000000000004</c:v>
                </c:pt>
                <c:pt idx="72">
                  <c:v>0.30299999999999999</c:v>
                </c:pt>
                <c:pt idx="73">
                  <c:v>0.33600000000000002</c:v>
                </c:pt>
                <c:pt idx="74">
                  <c:v>0.499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91-41A9-875B-F1FD5091E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9199"/>
        <c:axId val="6507279"/>
      </c:scatterChart>
      <c:valAx>
        <c:axId val="6509199"/>
        <c:scaling>
          <c:orientation val="minMax"/>
          <c:max val="10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279"/>
        <c:crosses val="autoZero"/>
        <c:crossBetween val="midCat"/>
      </c:valAx>
      <c:valAx>
        <c:axId val="650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140494</xdr:colOff>
      <xdr:row>2</xdr:row>
      <xdr:rowOff>157162</xdr:rowOff>
    </xdr:from>
    <xdr:to>
      <xdr:col>14</xdr:col>
      <xdr:colOff>178594</xdr:colOff>
      <xdr:row>18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06C0B4-39EA-CB4F-1CB0-0BF4705AD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</xdr:row>
      <xdr:rowOff>0</xdr:rowOff>
    </xdr:from>
    <xdr:to>
      <xdr:col>27</xdr:col>
      <xdr:colOff>38100</xdr:colOff>
      <xdr:row>17</xdr:row>
      <xdr:rowOff>138111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EEA3F-7C5B-450B-AAC0-BB6DC6903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0727-4E6C-4C5B-A44B-01FCFF96EFDE}">
  <dimension ref="A1:I105"/>
  <sheetViews>
    <sheetView workbookViewId="0">
      <selection activeCell="H1" sqref="H1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>
        <v>115.1</v>
      </c>
      <c r="D2">
        <v>2.4</v>
      </c>
      <c r="E2">
        <v>3.8</v>
      </c>
      <c r="F2">
        <v>41.1</v>
      </c>
      <c r="G2">
        <v>26.3</v>
      </c>
      <c r="H2">
        <v>1746.8</v>
      </c>
      <c r="I2">
        <v>0.1</v>
      </c>
    </row>
    <row r="3" spans="1:9" x14ac:dyDescent="0.45">
      <c r="A3">
        <v>2</v>
      </c>
      <c r="B3" t="s">
        <v>10</v>
      </c>
      <c r="C3">
        <v>48</v>
      </c>
      <c r="D3">
        <v>24</v>
      </c>
      <c r="E3">
        <v>28.3</v>
      </c>
      <c r="F3">
        <v>4.2</v>
      </c>
      <c r="G3">
        <v>3.5</v>
      </c>
      <c r="H3">
        <v>530.29999999999995</v>
      </c>
      <c r="I3">
        <v>0.2</v>
      </c>
    </row>
    <row r="4" spans="1:9" x14ac:dyDescent="0.45">
      <c r="A4">
        <v>3</v>
      </c>
      <c r="B4" t="s">
        <v>11</v>
      </c>
      <c r="C4">
        <v>47.1</v>
      </c>
      <c r="D4">
        <v>6</v>
      </c>
      <c r="E4">
        <v>5.4</v>
      </c>
      <c r="F4">
        <v>16.7</v>
      </c>
      <c r="G4">
        <v>18.600000000000001</v>
      </c>
      <c r="H4">
        <v>762.3</v>
      </c>
      <c r="I4">
        <v>0.1</v>
      </c>
    </row>
    <row r="5" spans="1:9" x14ac:dyDescent="0.45">
      <c r="A5">
        <v>4</v>
      </c>
      <c r="B5" t="s">
        <v>12</v>
      </c>
      <c r="C5">
        <v>46.6</v>
      </c>
      <c r="D5">
        <v>9.1999999999999993</v>
      </c>
      <c r="E5">
        <v>11.4</v>
      </c>
      <c r="F5">
        <v>10.8</v>
      </c>
      <c r="G5">
        <v>8.8000000000000007</v>
      </c>
      <c r="H5">
        <v>907.8</v>
      </c>
      <c r="I5">
        <v>0.1</v>
      </c>
    </row>
    <row r="6" spans="1:9" x14ac:dyDescent="0.45">
      <c r="A6">
        <v>5</v>
      </c>
      <c r="B6" t="s">
        <v>13</v>
      </c>
      <c r="C6">
        <v>34.200000000000003</v>
      </c>
      <c r="D6">
        <v>3.7</v>
      </c>
      <c r="E6">
        <v>2.7</v>
      </c>
      <c r="F6">
        <v>26.7</v>
      </c>
      <c r="G6">
        <v>36.5</v>
      </c>
      <c r="H6">
        <v>603.5</v>
      </c>
      <c r="I6">
        <v>0.2</v>
      </c>
    </row>
    <row r="7" spans="1:9" x14ac:dyDescent="0.45">
      <c r="A7">
        <v>6</v>
      </c>
      <c r="B7" t="s">
        <v>14</v>
      </c>
      <c r="C7">
        <v>32.1</v>
      </c>
      <c r="D7">
        <v>1.7</v>
      </c>
      <c r="E7">
        <v>1.8</v>
      </c>
      <c r="F7">
        <v>60</v>
      </c>
      <c r="G7">
        <v>56.3</v>
      </c>
      <c r="H7">
        <v>447.4</v>
      </c>
      <c r="I7">
        <v>0.2</v>
      </c>
    </row>
    <row r="8" spans="1:9" x14ac:dyDescent="0.45">
      <c r="A8">
        <v>7</v>
      </c>
      <c r="B8" t="s">
        <v>15</v>
      </c>
      <c r="C8">
        <v>29.1</v>
      </c>
      <c r="D8">
        <v>1.9</v>
      </c>
      <c r="E8">
        <v>2.2000000000000002</v>
      </c>
      <c r="F8">
        <v>52.2</v>
      </c>
      <c r="G8">
        <v>44.7</v>
      </c>
      <c r="H8">
        <v>211.2</v>
      </c>
      <c r="I8">
        <v>0.5</v>
      </c>
    </row>
    <row r="9" spans="1:9" x14ac:dyDescent="0.45">
      <c r="A9">
        <v>8</v>
      </c>
      <c r="B9" t="s">
        <v>16</v>
      </c>
      <c r="C9">
        <v>28.5</v>
      </c>
      <c r="D9">
        <v>1.6</v>
      </c>
      <c r="E9">
        <v>1.9</v>
      </c>
      <c r="F9">
        <v>62.5</v>
      </c>
      <c r="G9">
        <v>51.8</v>
      </c>
      <c r="H9">
        <v>212.9</v>
      </c>
      <c r="I9">
        <v>0.5</v>
      </c>
    </row>
    <row r="10" spans="1:9" x14ac:dyDescent="0.45">
      <c r="A10">
        <v>9</v>
      </c>
      <c r="B10" t="s">
        <v>17</v>
      </c>
      <c r="C10">
        <v>25.8</v>
      </c>
      <c r="D10">
        <v>3</v>
      </c>
      <c r="E10">
        <v>3.6</v>
      </c>
      <c r="F10">
        <v>33.299999999999997</v>
      </c>
      <c r="G10">
        <v>28</v>
      </c>
      <c r="H10">
        <v>296.2</v>
      </c>
      <c r="I10">
        <v>0.3</v>
      </c>
    </row>
    <row r="11" spans="1:9" x14ac:dyDescent="0.45">
      <c r="A11">
        <v>10</v>
      </c>
      <c r="B11" t="s">
        <v>18</v>
      </c>
      <c r="C11">
        <v>25.2</v>
      </c>
      <c r="D11">
        <v>2.9</v>
      </c>
      <c r="E11">
        <v>3.2</v>
      </c>
      <c r="F11">
        <v>34</v>
      </c>
      <c r="G11">
        <v>31.5</v>
      </c>
      <c r="H11">
        <v>213.4</v>
      </c>
      <c r="I11">
        <v>0.5</v>
      </c>
    </row>
    <row r="12" spans="1:9" x14ac:dyDescent="0.45">
      <c r="A12">
        <v>11</v>
      </c>
      <c r="B12" t="s">
        <v>19</v>
      </c>
      <c r="C12">
        <v>23.2</v>
      </c>
      <c r="D12">
        <v>2.9</v>
      </c>
      <c r="E12">
        <v>3.1</v>
      </c>
      <c r="F12">
        <v>34.200000000000003</v>
      </c>
      <c r="G12">
        <v>32.4</v>
      </c>
      <c r="H12">
        <v>158.4</v>
      </c>
      <c r="I12">
        <v>0.6</v>
      </c>
    </row>
    <row r="13" spans="1:9" x14ac:dyDescent="0.45">
      <c r="A13">
        <v>12</v>
      </c>
      <c r="B13" t="s">
        <v>20</v>
      </c>
      <c r="C13">
        <v>22.2</v>
      </c>
      <c r="D13">
        <v>3</v>
      </c>
      <c r="E13">
        <v>3.5</v>
      </c>
      <c r="F13">
        <v>33.1</v>
      </c>
      <c r="G13">
        <v>28.5</v>
      </c>
      <c r="H13">
        <v>211.5</v>
      </c>
      <c r="I13">
        <v>0.5</v>
      </c>
    </row>
    <row r="14" spans="1:9" x14ac:dyDescent="0.45">
      <c r="A14">
        <v>13</v>
      </c>
      <c r="B14" t="s">
        <v>21</v>
      </c>
      <c r="C14">
        <v>22.2</v>
      </c>
      <c r="D14">
        <v>1.2</v>
      </c>
      <c r="E14">
        <v>1.1000000000000001</v>
      </c>
      <c r="F14">
        <v>82.8</v>
      </c>
      <c r="G14">
        <v>88.1</v>
      </c>
      <c r="H14">
        <v>170.6</v>
      </c>
      <c r="I14">
        <v>0.6</v>
      </c>
    </row>
    <row r="15" spans="1:9" x14ac:dyDescent="0.45">
      <c r="A15">
        <v>14</v>
      </c>
      <c r="B15" t="s">
        <v>22</v>
      </c>
      <c r="C15">
        <v>21.3</v>
      </c>
      <c r="D15">
        <v>1.4</v>
      </c>
      <c r="E15">
        <v>1.5</v>
      </c>
      <c r="F15">
        <v>74.099999999999994</v>
      </c>
      <c r="G15">
        <v>67.2</v>
      </c>
      <c r="H15">
        <v>129.69999999999999</v>
      </c>
      <c r="I15">
        <v>0.8</v>
      </c>
    </row>
    <row r="16" spans="1:9" x14ac:dyDescent="0.45">
      <c r="A16">
        <v>15</v>
      </c>
      <c r="B16" t="s">
        <v>23</v>
      </c>
      <c r="C16">
        <v>19.7</v>
      </c>
      <c r="D16">
        <v>6.3</v>
      </c>
      <c r="E16">
        <v>6.8</v>
      </c>
      <c r="F16">
        <v>15.9</v>
      </c>
      <c r="G16">
        <v>14.7</v>
      </c>
      <c r="H16">
        <v>454.8</v>
      </c>
      <c r="I16">
        <v>0.2</v>
      </c>
    </row>
    <row r="17" spans="1:9" x14ac:dyDescent="0.45">
      <c r="A17">
        <v>16</v>
      </c>
      <c r="B17" t="s">
        <v>24</v>
      </c>
      <c r="C17">
        <v>19.399999999999999</v>
      </c>
      <c r="D17">
        <v>5.4</v>
      </c>
      <c r="E17">
        <v>7.5</v>
      </c>
      <c r="F17">
        <v>18.399999999999999</v>
      </c>
      <c r="G17">
        <v>13.3</v>
      </c>
      <c r="H17">
        <v>308.3</v>
      </c>
      <c r="I17">
        <v>0.3</v>
      </c>
    </row>
    <row r="18" spans="1:9" x14ac:dyDescent="0.45">
      <c r="A18">
        <v>17</v>
      </c>
      <c r="B18" t="s">
        <v>25</v>
      </c>
      <c r="C18">
        <v>18.5</v>
      </c>
      <c r="D18">
        <v>3.3</v>
      </c>
      <c r="E18">
        <v>3.3</v>
      </c>
      <c r="F18">
        <v>30.5</v>
      </c>
      <c r="G18">
        <v>30.7</v>
      </c>
      <c r="H18">
        <v>159.19999999999999</v>
      </c>
      <c r="I18">
        <v>0.6</v>
      </c>
    </row>
    <row r="19" spans="1:9" x14ac:dyDescent="0.45">
      <c r="A19">
        <v>18</v>
      </c>
      <c r="B19" t="s">
        <v>26</v>
      </c>
      <c r="C19">
        <v>18.399999999999999</v>
      </c>
      <c r="D19">
        <v>5.2</v>
      </c>
      <c r="E19">
        <v>4.3</v>
      </c>
      <c r="F19">
        <v>19.2</v>
      </c>
      <c r="G19">
        <v>23.2</v>
      </c>
      <c r="H19">
        <v>218.4</v>
      </c>
      <c r="I19">
        <v>0.5</v>
      </c>
    </row>
    <row r="20" spans="1:9" x14ac:dyDescent="0.45">
      <c r="A20">
        <v>19</v>
      </c>
      <c r="B20" t="s">
        <v>27</v>
      </c>
      <c r="C20">
        <v>18.2</v>
      </c>
      <c r="D20">
        <v>5.6</v>
      </c>
      <c r="E20">
        <v>5.7</v>
      </c>
      <c r="F20">
        <v>17.899999999999999</v>
      </c>
      <c r="G20">
        <v>17.7</v>
      </c>
      <c r="H20">
        <v>285.2</v>
      </c>
      <c r="I20">
        <v>0.4</v>
      </c>
    </row>
    <row r="21" spans="1:9" x14ac:dyDescent="0.45">
      <c r="A21">
        <v>20</v>
      </c>
      <c r="B21" t="s">
        <v>28</v>
      </c>
      <c r="C21">
        <v>18.100000000000001</v>
      </c>
      <c r="D21">
        <v>5.2</v>
      </c>
      <c r="E21">
        <v>5.0999999999999996</v>
      </c>
      <c r="F21">
        <v>19.3</v>
      </c>
      <c r="G21">
        <v>19.5</v>
      </c>
      <c r="H21">
        <v>261.8</v>
      </c>
      <c r="I21">
        <v>0.4</v>
      </c>
    </row>
    <row r="22" spans="1:9" x14ac:dyDescent="0.45">
      <c r="A22">
        <v>21</v>
      </c>
      <c r="B22" t="s">
        <v>29</v>
      </c>
      <c r="C22">
        <v>17.7</v>
      </c>
      <c r="D22">
        <v>4.2</v>
      </c>
      <c r="E22">
        <v>4.3</v>
      </c>
      <c r="F22">
        <v>23.6</v>
      </c>
      <c r="G22">
        <v>23.4</v>
      </c>
      <c r="H22">
        <v>1350.4</v>
      </c>
      <c r="I22">
        <v>0.1</v>
      </c>
    </row>
    <row r="23" spans="1:9" x14ac:dyDescent="0.45">
      <c r="A23">
        <v>22</v>
      </c>
      <c r="B23" t="s">
        <v>30</v>
      </c>
      <c r="C23">
        <v>17.5</v>
      </c>
      <c r="D23">
        <v>6.2</v>
      </c>
      <c r="E23">
        <v>9.5</v>
      </c>
      <c r="F23">
        <v>16.100000000000001</v>
      </c>
      <c r="G23">
        <v>10.5</v>
      </c>
      <c r="H23">
        <v>195.9</v>
      </c>
      <c r="I23">
        <v>0.5</v>
      </c>
    </row>
    <row r="24" spans="1:9" x14ac:dyDescent="0.45">
      <c r="A24">
        <v>23</v>
      </c>
      <c r="B24" t="s">
        <v>31</v>
      </c>
      <c r="C24">
        <v>16.7</v>
      </c>
      <c r="D24">
        <v>2.8</v>
      </c>
      <c r="E24">
        <v>3.2</v>
      </c>
      <c r="F24">
        <v>35.200000000000003</v>
      </c>
      <c r="G24">
        <v>31.2</v>
      </c>
      <c r="H24">
        <v>147.6</v>
      </c>
      <c r="I24">
        <v>0.7</v>
      </c>
    </row>
    <row r="25" spans="1:9" x14ac:dyDescent="0.45">
      <c r="A25">
        <v>24</v>
      </c>
      <c r="B25" t="s">
        <v>32</v>
      </c>
      <c r="C25">
        <v>16.5</v>
      </c>
      <c r="D25">
        <v>6.7</v>
      </c>
      <c r="E25">
        <v>5</v>
      </c>
      <c r="F25">
        <v>15</v>
      </c>
      <c r="G25">
        <v>20.100000000000001</v>
      </c>
      <c r="H25">
        <v>234.9</v>
      </c>
      <c r="I25">
        <v>0.4</v>
      </c>
    </row>
    <row r="26" spans="1:9" x14ac:dyDescent="0.45">
      <c r="A26">
        <v>25</v>
      </c>
      <c r="B26" t="s">
        <v>33</v>
      </c>
      <c r="C26">
        <v>16</v>
      </c>
      <c r="D26">
        <v>3.8</v>
      </c>
      <c r="E26">
        <v>3.9</v>
      </c>
      <c r="F26">
        <v>26.1</v>
      </c>
      <c r="G26">
        <v>25.7</v>
      </c>
      <c r="H26">
        <v>146.5</v>
      </c>
      <c r="I26">
        <v>0.7</v>
      </c>
    </row>
    <row r="27" spans="1:9" x14ac:dyDescent="0.45">
      <c r="A27">
        <v>26</v>
      </c>
      <c r="B27" t="s">
        <v>34</v>
      </c>
      <c r="C27">
        <v>15.6</v>
      </c>
      <c r="D27">
        <v>4.4000000000000004</v>
      </c>
      <c r="E27">
        <v>3.8</v>
      </c>
      <c r="F27">
        <v>22.9</v>
      </c>
      <c r="G27">
        <v>26.1</v>
      </c>
      <c r="H27">
        <v>126.3</v>
      </c>
      <c r="I27">
        <v>0.8</v>
      </c>
    </row>
    <row r="28" spans="1:9" x14ac:dyDescent="0.45">
      <c r="A28">
        <v>27</v>
      </c>
      <c r="B28" t="s">
        <v>35</v>
      </c>
      <c r="C28">
        <v>15.6</v>
      </c>
      <c r="D28">
        <v>5</v>
      </c>
      <c r="E28">
        <v>5.2</v>
      </c>
      <c r="F28">
        <v>20</v>
      </c>
      <c r="G28">
        <v>19.100000000000001</v>
      </c>
      <c r="H28">
        <v>167.8</v>
      </c>
      <c r="I28">
        <v>0.6</v>
      </c>
    </row>
    <row r="29" spans="1:9" x14ac:dyDescent="0.45">
      <c r="A29">
        <v>28</v>
      </c>
      <c r="B29" t="s">
        <v>36</v>
      </c>
      <c r="C29">
        <v>15.3</v>
      </c>
      <c r="D29">
        <v>4.5999999999999996</v>
      </c>
      <c r="E29">
        <v>5.5</v>
      </c>
      <c r="F29">
        <v>21.9</v>
      </c>
      <c r="G29">
        <v>18.100000000000001</v>
      </c>
      <c r="H29">
        <v>127.8</v>
      </c>
      <c r="I29">
        <v>0.8</v>
      </c>
    </row>
    <row r="30" spans="1:9" x14ac:dyDescent="0.45">
      <c r="A30">
        <v>29</v>
      </c>
      <c r="B30" t="s">
        <v>37</v>
      </c>
      <c r="C30">
        <v>15.2</v>
      </c>
      <c r="D30">
        <v>4.8</v>
      </c>
      <c r="E30">
        <v>4.7</v>
      </c>
      <c r="F30">
        <v>21</v>
      </c>
      <c r="G30">
        <v>21.4</v>
      </c>
      <c r="H30">
        <v>188.7</v>
      </c>
      <c r="I30">
        <v>0.5</v>
      </c>
    </row>
    <row r="31" spans="1:9" x14ac:dyDescent="0.45">
      <c r="A31">
        <v>30</v>
      </c>
      <c r="B31" t="s">
        <v>38</v>
      </c>
      <c r="C31">
        <v>15.1</v>
      </c>
      <c r="D31">
        <v>9</v>
      </c>
      <c r="E31">
        <v>7.3</v>
      </c>
      <c r="F31">
        <v>11.1</v>
      </c>
      <c r="G31">
        <v>13.7</v>
      </c>
      <c r="H31">
        <v>363.5</v>
      </c>
      <c r="I31">
        <v>0.3</v>
      </c>
    </row>
    <row r="32" spans="1:9" x14ac:dyDescent="0.45">
      <c r="A32">
        <v>31</v>
      </c>
      <c r="B32" t="s">
        <v>39</v>
      </c>
      <c r="C32">
        <v>15</v>
      </c>
      <c r="D32">
        <v>6.7</v>
      </c>
      <c r="E32">
        <v>6.9</v>
      </c>
      <c r="F32">
        <v>14.9</v>
      </c>
      <c r="G32">
        <v>14.5</v>
      </c>
      <c r="H32">
        <v>185.5</v>
      </c>
      <c r="I32">
        <v>0.5</v>
      </c>
    </row>
    <row r="33" spans="1:9" x14ac:dyDescent="0.45">
      <c r="A33">
        <v>32</v>
      </c>
      <c r="B33" t="s">
        <v>40</v>
      </c>
      <c r="C33">
        <v>14.9</v>
      </c>
      <c r="D33">
        <v>6.2</v>
      </c>
      <c r="E33">
        <v>6.4</v>
      </c>
      <c r="F33">
        <v>16.100000000000001</v>
      </c>
      <c r="G33">
        <v>15.6</v>
      </c>
      <c r="H33">
        <v>163.30000000000001</v>
      </c>
      <c r="I33">
        <v>0.6</v>
      </c>
    </row>
    <row r="34" spans="1:9" x14ac:dyDescent="0.45">
      <c r="A34">
        <v>33</v>
      </c>
      <c r="B34" t="s">
        <v>41</v>
      </c>
      <c r="C34">
        <v>14.7</v>
      </c>
      <c r="D34">
        <v>5.6</v>
      </c>
      <c r="E34">
        <v>6</v>
      </c>
      <c r="F34">
        <v>17.8</v>
      </c>
      <c r="G34">
        <v>16.600000000000001</v>
      </c>
      <c r="H34">
        <v>115.5</v>
      </c>
      <c r="I34">
        <v>0.9</v>
      </c>
    </row>
    <row r="35" spans="1:9" x14ac:dyDescent="0.45">
      <c r="A35">
        <v>34</v>
      </c>
      <c r="B35" t="s">
        <v>42</v>
      </c>
      <c r="C35">
        <v>14.3</v>
      </c>
      <c r="D35">
        <v>4.5</v>
      </c>
      <c r="E35">
        <v>4.2</v>
      </c>
      <c r="F35">
        <v>22.2</v>
      </c>
      <c r="G35">
        <v>23.6</v>
      </c>
      <c r="H35">
        <v>218.5</v>
      </c>
      <c r="I35">
        <v>0.5</v>
      </c>
    </row>
    <row r="36" spans="1:9" x14ac:dyDescent="0.45">
      <c r="A36">
        <v>35</v>
      </c>
      <c r="B36" t="s">
        <v>43</v>
      </c>
      <c r="C36">
        <v>14.3</v>
      </c>
      <c r="D36">
        <v>4.5</v>
      </c>
      <c r="E36">
        <v>4</v>
      </c>
      <c r="F36">
        <v>22.2</v>
      </c>
      <c r="G36">
        <v>25.3</v>
      </c>
      <c r="H36">
        <v>292.60000000000002</v>
      </c>
      <c r="I36">
        <v>0.3</v>
      </c>
    </row>
    <row r="37" spans="1:9" x14ac:dyDescent="0.45">
      <c r="A37">
        <v>36</v>
      </c>
      <c r="B37" t="s">
        <v>44</v>
      </c>
      <c r="C37">
        <v>14</v>
      </c>
      <c r="D37">
        <v>3.4</v>
      </c>
      <c r="E37">
        <v>3.6</v>
      </c>
      <c r="F37">
        <v>29.2</v>
      </c>
      <c r="G37">
        <v>27.9</v>
      </c>
      <c r="H37">
        <v>104.9</v>
      </c>
      <c r="I37">
        <v>1</v>
      </c>
    </row>
    <row r="38" spans="1:9" x14ac:dyDescent="0.45">
      <c r="A38">
        <v>37</v>
      </c>
      <c r="B38" t="s">
        <v>45</v>
      </c>
      <c r="C38">
        <v>13.9</v>
      </c>
      <c r="D38">
        <v>8.5</v>
      </c>
      <c r="E38">
        <v>8.6999999999999993</v>
      </c>
      <c r="F38">
        <v>11.8</v>
      </c>
      <c r="G38">
        <v>11.5</v>
      </c>
      <c r="H38">
        <v>273.5</v>
      </c>
      <c r="I38">
        <v>0.4</v>
      </c>
    </row>
    <row r="39" spans="1:9" x14ac:dyDescent="0.45">
      <c r="A39">
        <v>38</v>
      </c>
      <c r="B39" t="s">
        <v>46</v>
      </c>
      <c r="C39">
        <v>13.7</v>
      </c>
      <c r="D39">
        <v>2.9</v>
      </c>
      <c r="E39">
        <v>2.8</v>
      </c>
      <c r="F39">
        <v>35.1</v>
      </c>
      <c r="G39">
        <v>35.9</v>
      </c>
      <c r="H39">
        <v>106.5</v>
      </c>
      <c r="I39">
        <v>0.9</v>
      </c>
    </row>
    <row r="40" spans="1:9" x14ac:dyDescent="0.45">
      <c r="A40">
        <v>39</v>
      </c>
      <c r="B40" t="s">
        <v>47</v>
      </c>
      <c r="C40">
        <v>13.7</v>
      </c>
      <c r="D40">
        <v>3.9</v>
      </c>
      <c r="E40">
        <v>4.5</v>
      </c>
      <c r="F40">
        <v>25.9</v>
      </c>
      <c r="G40">
        <v>22.5</v>
      </c>
      <c r="H40">
        <v>100.7</v>
      </c>
      <c r="I40">
        <v>1</v>
      </c>
    </row>
    <row r="41" spans="1:9" x14ac:dyDescent="0.45">
      <c r="A41">
        <v>40</v>
      </c>
      <c r="B41" t="s">
        <v>48</v>
      </c>
      <c r="C41">
        <v>13.6</v>
      </c>
      <c r="D41">
        <v>5.4</v>
      </c>
      <c r="E41">
        <v>5.5</v>
      </c>
      <c r="F41">
        <v>18.7</v>
      </c>
      <c r="G41">
        <v>18.2</v>
      </c>
      <c r="H41">
        <v>253.3</v>
      </c>
      <c r="I41">
        <v>0.4</v>
      </c>
    </row>
    <row r="42" spans="1:9" x14ac:dyDescent="0.45">
      <c r="A42">
        <v>41</v>
      </c>
      <c r="B42" t="s">
        <v>49</v>
      </c>
      <c r="C42">
        <v>13.5</v>
      </c>
      <c r="D42">
        <v>3.4</v>
      </c>
      <c r="E42">
        <v>3.6</v>
      </c>
      <c r="F42">
        <v>29.2</v>
      </c>
      <c r="G42">
        <v>27.5</v>
      </c>
      <c r="H42">
        <v>112.2</v>
      </c>
      <c r="I42">
        <v>0.9</v>
      </c>
    </row>
    <row r="43" spans="1:9" x14ac:dyDescent="0.45">
      <c r="A43">
        <v>42</v>
      </c>
      <c r="B43" t="s">
        <v>50</v>
      </c>
      <c r="C43">
        <v>13.5</v>
      </c>
      <c r="D43">
        <v>7.6</v>
      </c>
      <c r="E43">
        <v>8.6999999999999993</v>
      </c>
      <c r="F43">
        <v>13.2</v>
      </c>
      <c r="G43">
        <v>11.6</v>
      </c>
      <c r="H43">
        <v>307.7</v>
      </c>
      <c r="I43">
        <v>0.3</v>
      </c>
    </row>
    <row r="44" spans="1:9" x14ac:dyDescent="0.45">
      <c r="A44">
        <v>43</v>
      </c>
      <c r="B44" t="s">
        <v>51</v>
      </c>
      <c r="C44">
        <v>13.4</v>
      </c>
      <c r="D44">
        <v>5.2</v>
      </c>
      <c r="E44">
        <v>5</v>
      </c>
      <c r="F44">
        <v>19.100000000000001</v>
      </c>
      <c r="G44">
        <v>20.100000000000001</v>
      </c>
      <c r="H44">
        <v>105.8</v>
      </c>
      <c r="I44">
        <v>0.9</v>
      </c>
    </row>
    <row r="45" spans="1:9" x14ac:dyDescent="0.45">
      <c r="A45">
        <v>44</v>
      </c>
      <c r="B45" t="s">
        <v>52</v>
      </c>
      <c r="C45">
        <v>13.3</v>
      </c>
      <c r="D45">
        <v>6.8</v>
      </c>
      <c r="E45">
        <v>6.6</v>
      </c>
      <c r="F45">
        <v>14.8</v>
      </c>
      <c r="G45">
        <v>15.2</v>
      </c>
      <c r="H45">
        <v>149.5</v>
      </c>
      <c r="I45">
        <v>0.7</v>
      </c>
    </row>
    <row r="46" spans="1:9" x14ac:dyDescent="0.45">
      <c r="A46">
        <v>45</v>
      </c>
      <c r="B46" t="s">
        <v>53</v>
      </c>
      <c r="C46">
        <v>13.2</v>
      </c>
      <c r="D46">
        <v>2.7</v>
      </c>
      <c r="E46">
        <v>2.8</v>
      </c>
      <c r="F46">
        <v>36.6</v>
      </c>
      <c r="G46">
        <v>35.5</v>
      </c>
      <c r="H46">
        <v>99.7</v>
      </c>
      <c r="I46">
        <v>1</v>
      </c>
    </row>
    <row r="47" spans="1:9" x14ac:dyDescent="0.45">
      <c r="A47">
        <v>46</v>
      </c>
      <c r="B47" t="s">
        <v>54</v>
      </c>
      <c r="C47">
        <v>13</v>
      </c>
      <c r="D47">
        <v>4.4000000000000004</v>
      </c>
      <c r="E47">
        <v>4.0999999999999996</v>
      </c>
      <c r="F47">
        <v>22.5</v>
      </c>
      <c r="G47">
        <v>24.6</v>
      </c>
      <c r="H47">
        <v>114.1</v>
      </c>
      <c r="I47">
        <v>0.9</v>
      </c>
    </row>
    <row r="48" spans="1:9" x14ac:dyDescent="0.45">
      <c r="A48">
        <v>47</v>
      </c>
      <c r="B48" t="s">
        <v>55</v>
      </c>
      <c r="C48">
        <v>13</v>
      </c>
      <c r="D48">
        <v>3.7</v>
      </c>
      <c r="E48">
        <v>3.8</v>
      </c>
      <c r="F48">
        <v>26.8</v>
      </c>
      <c r="G48">
        <v>26.1</v>
      </c>
      <c r="H48">
        <v>94</v>
      </c>
      <c r="I48">
        <v>1.1000000000000001</v>
      </c>
    </row>
    <row r="49" spans="1:9" x14ac:dyDescent="0.45">
      <c r="A49">
        <v>48</v>
      </c>
      <c r="B49" t="s">
        <v>56</v>
      </c>
      <c r="C49">
        <v>13</v>
      </c>
      <c r="D49">
        <v>3.5</v>
      </c>
      <c r="E49">
        <v>3.8</v>
      </c>
      <c r="F49">
        <v>28.3</v>
      </c>
      <c r="G49">
        <v>26.7</v>
      </c>
      <c r="H49">
        <v>127.1</v>
      </c>
      <c r="I49">
        <v>0.8</v>
      </c>
    </row>
    <row r="50" spans="1:9" x14ac:dyDescent="0.45">
      <c r="A50">
        <v>49</v>
      </c>
      <c r="B50" t="s">
        <v>57</v>
      </c>
      <c r="C50">
        <v>13</v>
      </c>
      <c r="D50">
        <v>3.7</v>
      </c>
      <c r="E50">
        <v>3.7</v>
      </c>
      <c r="F50">
        <v>26.8</v>
      </c>
      <c r="G50">
        <v>26.7</v>
      </c>
      <c r="H50">
        <v>99.2</v>
      </c>
      <c r="I50">
        <v>1</v>
      </c>
    </row>
    <row r="51" spans="1:9" x14ac:dyDescent="0.45">
      <c r="A51">
        <v>50</v>
      </c>
      <c r="B51" t="s">
        <v>58</v>
      </c>
      <c r="C51">
        <v>12.9</v>
      </c>
      <c r="D51">
        <v>5.7</v>
      </c>
      <c r="E51">
        <v>5.6</v>
      </c>
      <c r="F51">
        <v>17.5</v>
      </c>
      <c r="G51">
        <v>18</v>
      </c>
      <c r="H51">
        <v>109.7</v>
      </c>
      <c r="I51">
        <v>0.9</v>
      </c>
    </row>
    <row r="52" spans="1:9" x14ac:dyDescent="0.45">
      <c r="A52">
        <v>51</v>
      </c>
      <c r="B52" t="s">
        <v>59</v>
      </c>
      <c r="C52">
        <v>12.8</v>
      </c>
      <c r="D52">
        <v>5.3</v>
      </c>
      <c r="E52">
        <v>5.2</v>
      </c>
      <c r="F52">
        <v>19</v>
      </c>
      <c r="G52">
        <v>19.3</v>
      </c>
      <c r="H52">
        <v>204.7</v>
      </c>
      <c r="I52">
        <v>0.5</v>
      </c>
    </row>
    <row r="53" spans="1:9" x14ac:dyDescent="0.45">
      <c r="A53">
        <v>52</v>
      </c>
      <c r="B53" t="s">
        <v>60</v>
      </c>
      <c r="C53">
        <v>12.8</v>
      </c>
      <c r="D53">
        <v>3.5</v>
      </c>
      <c r="E53">
        <v>3.7</v>
      </c>
      <c r="F53">
        <v>28.4</v>
      </c>
      <c r="G53">
        <v>27.2</v>
      </c>
      <c r="H53">
        <v>95.8</v>
      </c>
      <c r="I53">
        <v>1</v>
      </c>
    </row>
    <row r="54" spans="1:9" x14ac:dyDescent="0.45">
      <c r="A54">
        <v>53</v>
      </c>
      <c r="B54" t="s">
        <v>61</v>
      </c>
      <c r="C54">
        <v>12.8</v>
      </c>
      <c r="D54">
        <v>3</v>
      </c>
      <c r="E54">
        <v>3</v>
      </c>
      <c r="F54">
        <v>33.700000000000003</v>
      </c>
      <c r="G54">
        <v>33.6</v>
      </c>
      <c r="H54">
        <v>147.1</v>
      </c>
      <c r="I54">
        <v>0.7</v>
      </c>
    </row>
    <row r="55" spans="1:9" x14ac:dyDescent="0.45">
      <c r="A55">
        <v>54</v>
      </c>
      <c r="B55" t="s">
        <v>62</v>
      </c>
      <c r="C55">
        <v>12.7</v>
      </c>
      <c r="D55">
        <v>8.1</v>
      </c>
      <c r="E55">
        <v>8.8000000000000007</v>
      </c>
      <c r="F55">
        <v>12.3</v>
      </c>
      <c r="G55">
        <v>11.4</v>
      </c>
      <c r="H55">
        <v>165.4</v>
      </c>
      <c r="I55">
        <v>0.6</v>
      </c>
    </row>
    <row r="56" spans="1:9" x14ac:dyDescent="0.45">
      <c r="A56">
        <v>55</v>
      </c>
      <c r="B56" t="s">
        <v>63</v>
      </c>
      <c r="C56">
        <v>12.4</v>
      </c>
      <c r="D56">
        <v>3.4</v>
      </c>
      <c r="E56">
        <v>3.9</v>
      </c>
      <c r="F56">
        <v>29.5</v>
      </c>
      <c r="G56">
        <v>25.9</v>
      </c>
      <c r="H56">
        <v>91.9</v>
      </c>
      <c r="I56">
        <v>1.1000000000000001</v>
      </c>
    </row>
    <row r="57" spans="1:9" x14ac:dyDescent="0.45">
      <c r="A57">
        <v>56</v>
      </c>
      <c r="B57" t="s">
        <v>64</v>
      </c>
      <c r="C57">
        <v>12.3</v>
      </c>
      <c r="D57">
        <v>3.5</v>
      </c>
      <c r="E57">
        <v>3.6</v>
      </c>
      <c r="F57">
        <v>28.2</v>
      </c>
      <c r="G57">
        <v>27.9</v>
      </c>
      <c r="H57">
        <v>96.5</v>
      </c>
      <c r="I57">
        <v>1</v>
      </c>
    </row>
    <row r="58" spans="1:9" x14ac:dyDescent="0.45">
      <c r="A58">
        <v>57</v>
      </c>
      <c r="B58" t="s">
        <v>65</v>
      </c>
      <c r="C58">
        <v>12.2</v>
      </c>
      <c r="D58">
        <v>4.8</v>
      </c>
      <c r="E58">
        <v>5.6</v>
      </c>
      <c r="F58">
        <v>21</v>
      </c>
      <c r="G58">
        <v>17.899999999999999</v>
      </c>
      <c r="H58">
        <v>153.19999999999999</v>
      </c>
      <c r="I58">
        <v>0.7</v>
      </c>
    </row>
    <row r="59" spans="1:9" x14ac:dyDescent="0.45">
      <c r="A59">
        <v>58</v>
      </c>
      <c r="B59" t="s">
        <v>66</v>
      </c>
      <c r="C59">
        <v>12.2</v>
      </c>
      <c r="D59">
        <v>2.1</v>
      </c>
      <c r="E59">
        <v>2.4</v>
      </c>
      <c r="F59">
        <v>47.1</v>
      </c>
      <c r="G59">
        <v>42.4</v>
      </c>
      <c r="H59">
        <v>72.900000000000006</v>
      </c>
      <c r="I59">
        <v>1.4</v>
      </c>
    </row>
    <row r="60" spans="1:9" x14ac:dyDescent="0.45">
      <c r="A60">
        <v>59</v>
      </c>
      <c r="B60" t="s">
        <v>67</v>
      </c>
      <c r="C60">
        <v>12</v>
      </c>
      <c r="D60">
        <v>7.2</v>
      </c>
      <c r="E60">
        <v>5.9</v>
      </c>
      <c r="F60">
        <v>13.9</v>
      </c>
      <c r="G60">
        <v>16.899999999999999</v>
      </c>
      <c r="H60">
        <v>114.6</v>
      </c>
      <c r="I60">
        <v>0.9</v>
      </c>
    </row>
    <row r="61" spans="1:9" x14ac:dyDescent="0.45">
      <c r="A61">
        <v>60</v>
      </c>
      <c r="B61" t="s">
        <v>68</v>
      </c>
      <c r="C61">
        <v>11.9</v>
      </c>
      <c r="D61">
        <v>5.8</v>
      </c>
      <c r="E61">
        <v>5.2</v>
      </c>
      <c r="F61">
        <v>17.100000000000001</v>
      </c>
      <c r="G61">
        <v>19.3</v>
      </c>
      <c r="H61">
        <v>137.5</v>
      </c>
      <c r="I61">
        <v>0.7</v>
      </c>
    </row>
    <row r="62" spans="1:9" x14ac:dyDescent="0.45">
      <c r="A62">
        <v>61</v>
      </c>
      <c r="B62" t="s">
        <v>69</v>
      </c>
      <c r="C62">
        <v>11.8</v>
      </c>
      <c r="D62">
        <v>7.3</v>
      </c>
      <c r="E62">
        <v>7.5</v>
      </c>
      <c r="F62">
        <v>13.7</v>
      </c>
      <c r="G62">
        <v>13.4</v>
      </c>
      <c r="H62">
        <v>150</v>
      </c>
      <c r="I62">
        <v>0.7</v>
      </c>
    </row>
    <row r="63" spans="1:9" x14ac:dyDescent="0.45">
      <c r="A63">
        <v>62</v>
      </c>
      <c r="B63" t="s">
        <v>70</v>
      </c>
      <c r="C63">
        <v>11.5</v>
      </c>
      <c r="D63">
        <v>3</v>
      </c>
      <c r="E63">
        <v>3.2</v>
      </c>
      <c r="F63">
        <v>33.799999999999997</v>
      </c>
      <c r="G63">
        <v>31.5</v>
      </c>
      <c r="H63">
        <v>81.2</v>
      </c>
      <c r="I63">
        <v>1.2</v>
      </c>
    </row>
    <row r="64" spans="1:9" x14ac:dyDescent="0.45">
      <c r="A64">
        <v>63</v>
      </c>
      <c r="B64" t="s">
        <v>71</v>
      </c>
      <c r="C64">
        <v>11.4</v>
      </c>
      <c r="D64">
        <v>3.2</v>
      </c>
      <c r="E64">
        <v>3.3</v>
      </c>
      <c r="F64">
        <v>30.9</v>
      </c>
      <c r="G64">
        <v>30</v>
      </c>
      <c r="H64">
        <v>91.4</v>
      </c>
      <c r="I64">
        <v>1.1000000000000001</v>
      </c>
    </row>
    <row r="65" spans="1:9" x14ac:dyDescent="0.45">
      <c r="A65">
        <v>64</v>
      </c>
      <c r="B65" t="s">
        <v>72</v>
      </c>
      <c r="C65">
        <v>11.2</v>
      </c>
      <c r="D65">
        <v>5.5</v>
      </c>
      <c r="E65">
        <v>5.8</v>
      </c>
      <c r="F65">
        <v>18.2</v>
      </c>
      <c r="G65">
        <v>17.2</v>
      </c>
      <c r="H65">
        <v>86.1</v>
      </c>
      <c r="I65">
        <v>1.2</v>
      </c>
    </row>
    <row r="66" spans="1:9" x14ac:dyDescent="0.45">
      <c r="A66">
        <v>65</v>
      </c>
      <c r="B66" t="s">
        <v>73</v>
      </c>
      <c r="C66">
        <v>11.2</v>
      </c>
      <c r="D66">
        <v>8.6999999999999993</v>
      </c>
      <c r="E66">
        <v>9.8000000000000007</v>
      </c>
      <c r="F66">
        <v>11.4</v>
      </c>
      <c r="G66">
        <v>10.199999999999999</v>
      </c>
      <c r="H66">
        <v>98.8</v>
      </c>
      <c r="I66">
        <v>1</v>
      </c>
    </row>
    <row r="67" spans="1:9" x14ac:dyDescent="0.45">
      <c r="A67">
        <v>66</v>
      </c>
      <c r="B67" t="s">
        <v>74</v>
      </c>
      <c r="C67">
        <v>11</v>
      </c>
      <c r="D67">
        <v>4</v>
      </c>
      <c r="E67">
        <v>4.4000000000000004</v>
      </c>
      <c r="F67">
        <v>24.8</v>
      </c>
      <c r="G67">
        <v>22.6</v>
      </c>
      <c r="H67">
        <v>102.1</v>
      </c>
      <c r="I67">
        <v>1</v>
      </c>
    </row>
    <row r="68" spans="1:9" x14ac:dyDescent="0.45">
      <c r="A68">
        <v>67</v>
      </c>
      <c r="B68" t="s">
        <v>75</v>
      </c>
      <c r="C68">
        <v>11</v>
      </c>
      <c r="D68">
        <v>2.5</v>
      </c>
      <c r="E68">
        <v>2.6</v>
      </c>
      <c r="F68">
        <v>40.1</v>
      </c>
      <c r="G68">
        <v>37.799999999999997</v>
      </c>
      <c r="H68">
        <v>69.599999999999994</v>
      </c>
      <c r="I68">
        <v>1.4</v>
      </c>
    </row>
    <row r="69" spans="1:9" x14ac:dyDescent="0.45">
      <c r="A69">
        <v>68</v>
      </c>
      <c r="B69" t="s">
        <v>76</v>
      </c>
      <c r="C69">
        <v>10.9</v>
      </c>
      <c r="D69">
        <v>2.9</v>
      </c>
      <c r="E69">
        <v>3.3</v>
      </c>
      <c r="F69">
        <v>34.799999999999997</v>
      </c>
      <c r="G69">
        <v>30.4</v>
      </c>
      <c r="H69">
        <v>117.7</v>
      </c>
      <c r="I69">
        <v>0.8</v>
      </c>
    </row>
    <row r="70" spans="1:9" x14ac:dyDescent="0.45">
      <c r="A70">
        <v>69</v>
      </c>
      <c r="B70" t="s">
        <v>77</v>
      </c>
      <c r="C70">
        <v>10.7</v>
      </c>
      <c r="D70">
        <v>6.7</v>
      </c>
      <c r="E70">
        <v>7.6</v>
      </c>
      <c r="F70">
        <v>15</v>
      </c>
      <c r="G70">
        <v>13.1</v>
      </c>
      <c r="H70">
        <v>423.5</v>
      </c>
      <c r="I70">
        <v>0.2</v>
      </c>
    </row>
    <row r="71" spans="1:9" x14ac:dyDescent="0.45">
      <c r="A71">
        <v>70</v>
      </c>
      <c r="B71" t="s">
        <v>78</v>
      </c>
      <c r="C71">
        <v>10.3</v>
      </c>
      <c r="D71">
        <v>4.0999999999999996</v>
      </c>
      <c r="E71">
        <v>4.3</v>
      </c>
      <c r="F71">
        <v>24.4</v>
      </c>
      <c r="G71">
        <v>23.2</v>
      </c>
      <c r="H71">
        <v>95.2</v>
      </c>
      <c r="I71">
        <v>1.1000000000000001</v>
      </c>
    </row>
    <row r="72" spans="1:9" x14ac:dyDescent="0.45">
      <c r="A72">
        <v>71</v>
      </c>
      <c r="B72" t="s">
        <v>79</v>
      </c>
      <c r="C72">
        <v>10.3</v>
      </c>
      <c r="D72">
        <v>6.6</v>
      </c>
      <c r="E72">
        <v>8.3000000000000007</v>
      </c>
      <c r="F72">
        <v>15.2</v>
      </c>
      <c r="G72">
        <v>12.1</v>
      </c>
      <c r="H72">
        <v>122.5</v>
      </c>
      <c r="I72">
        <v>0.8</v>
      </c>
    </row>
    <row r="73" spans="1:9" x14ac:dyDescent="0.45">
      <c r="A73">
        <v>72</v>
      </c>
      <c r="B73" t="s">
        <v>80</v>
      </c>
      <c r="C73">
        <v>10.3</v>
      </c>
      <c r="D73">
        <v>2.9</v>
      </c>
      <c r="E73">
        <v>3.4</v>
      </c>
      <c r="F73">
        <v>34.1</v>
      </c>
      <c r="G73">
        <v>29.4</v>
      </c>
      <c r="H73">
        <v>72.5</v>
      </c>
      <c r="I73">
        <v>1.4</v>
      </c>
    </row>
    <row r="74" spans="1:9" x14ac:dyDescent="0.45">
      <c r="A74">
        <v>73</v>
      </c>
      <c r="B74" t="s">
        <v>81</v>
      </c>
      <c r="C74">
        <v>10.199999999999999</v>
      </c>
      <c r="D74">
        <v>4</v>
      </c>
      <c r="E74">
        <v>5.0999999999999996</v>
      </c>
      <c r="F74">
        <v>24.7</v>
      </c>
      <c r="G74">
        <v>19.399999999999999</v>
      </c>
      <c r="H74">
        <v>92.1</v>
      </c>
      <c r="I74">
        <v>1.1000000000000001</v>
      </c>
    </row>
    <row r="75" spans="1:9" x14ac:dyDescent="0.45">
      <c r="A75">
        <v>74</v>
      </c>
      <c r="B75" t="s">
        <v>82</v>
      </c>
      <c r="C75">
        <v>9.9</v>
      </c>
      <c r="D75">
        <v>7.8</v>
      </c>
      <c r="E75">
        <v>8.1999999999999993</v>
      </c>
      <c r="F75">
        <v>12.9</v>
      </c>
      <c r="G75">
        <v>12.2</v>
      </c>
      <c r="H75">
        <v>177.3</v>
      </c>
      <c r="I75">
        <v>0.6</v>
      </c>
    </row>
    <row r="76" spans="1:9" x14ac:dyDescent="0.45">
      <c r="A76">
        <v>75</v>
      </c>
      <c r="B76" t="s">
        <v>83</v>
      </c>
      <c r="C76">
        <v>9.5</v>
      </c>
      <c r="D76">
        <v>4.2</v>
      </c>
      <c r="E76">
        <v>5</v>
      </c>
      <c r="F76">
        <v>23.8</v>
      </c>
      <c r="G76">
        <v>20</v>
      </c>
      <c r="H76">
        <v>72.7</v>
      </c>
      <c r="I76">
        <v>1.4</v>
      </c>
    </row>
    <row r="77" spans="1:9" x14ac:dyDescent="0.45">
      <c r="A77">
        <v>76</v>
      </c>
      <c r="B77" t="s">
        <v>84</v>
      </c>
      <c r="C77">
        <v>9.3000000000000007</v>
      </c>
      <c r="D77">
        <v>4.4000000000000004</v>
      </c>
      <c r="E77">
        <v>4.7</v>
      </c>
      <c r="F77">
        <v>22.8</v>
      </c>
      <c r="G77">
        <v>21.3</v>
      </c>
      <c r="H77">
        <v>69.2</v>
      </c>
      <c r="I77">
        <v>1.4</v>
      </c>
    </row>
    <row r="78" spans="1:9" x14ac:dyDescent="0.45">
      <c r="A78">
        <v>77</v>
      </c>
      <c r="B78" t="s">
        <v>85</v>
      </c>
      <c r="C78">
        <v>8.9</v>
      </c>
      <c r="D78">
        <v>3.5</v>
      </c>
      <c r="E78">
        <v>3.3</v>
      </c>
      <c r="F78">
        <v>28.3</v>
      </c>
      <c r="G78">
        <v>29.9</v>
      </c>
      <c r="H78">
        <v>64.599999999999994</v>
      </c>
      <c r="I78">
        <v>1.5</v>
      </c>
    </row>
    <row r="79" spans="1:9" x14ac:dyDescent="0.45">
      <c r="A79">
        <v>78</v>
      </c>
      <c r="B79" t="s">
        <v>86</v>
      </c>
      <c r="C79">
        <v>8.8000000000000007</v>
      </c>
      <c r="D79">
        <v>4.5999999999999996</v>
      </c>
      <c r="E79">
        <v>4.7</v>
      </c>
      <c r="F79">
        <v>21.7</v>
      </c>
      <c r="G79">
        <v>21.3</v>
      </c>
      <c r="H79">
        <v>74.2</v>
      </c>
      <c r="I79">
        <v>1.3</v>
      </c>
    </row>
    <row r="80" spans="1:9" x14ac:dyDescent="0.45">
      <c r="A80">
        <v>79</v>
      </c>
      <c r="B80" t="s">
        <v>87</v>
      </c>
      <c r="C80">
        <v>8.6999999999999993</v>
      </c>
      <c r="D80">
        <v>3.8</v>
      </c>
      <c r="E80">
        <v>4.7</v>
      </c>
      <c r="F80">
        <v>26.3</v>
      </c>
      <c r="G80">
        <v>21.1</v>
      </c>
      <c r="H80">
        <v>64.099999999999994</v>
      </c>
      <c r="I80">
        <v>1.6</v>
      </c>
    </row>
    <row r="81" spans="1:9" x14ac:dyDescent="0.45">
      <c r="A81">
        <v>80</v>
      </c>
      <c r="B81" t="s">
        <v>88</v>
      </c>
      <c r="C81">
        <v>8.6</v>
      </c>
      <c r="D81">
        <v>3.6</v>
      </c>
      <c r="E81">
        <v>4</v>
      </c>
      <c r="F81">
        <v>28.1</v>
      </c>
      <c r="G81">
        <v>25</v>
      </c>
      <c r="H81">
        <v>58.7</v>
      </c>
      <c r="I81">
        <v>1.7</v>
      </c>
    </row>
    <row r="82" spans="1:9" x14ac:dyDescent="0.45">
      <c r="A82">
        <v>81</v>
      </c>
      <c r="B82" t="s">
        <v>89</v>
      </c>
      <c r="C82">
        <v>8.6</v>
      </c>
      <c r="D82">
        <v>3.9</v>
      </c>
      <c r="E82">
        <v>4.3</v>
      </c>
      <c r="F82">
        <v>26</v>
      </c>
      <c r="G82">
        <v>23.4</v>
      </c>
      <c r="H82">
        <v>64.099999999999994</v>
      </c>
      <c r="I82">
        <v>1.6</v>
      </c>
    </row>
    <row r="83" spans="1:9" x14ac:dyDescent="0.45">
      <c r="A83">
        <v>82</v>
      </c>
      <c r="B83" t="s">
        <v>90</v>
      </c>
      <c r="C83">
        <v>8.5</v>
      </c>
      <c r="D83">
        <v>5.3</v>
      </c>
      <c r="E83">
        <v>6.5</v>
      </c>
      <c r="F83">
        <v>18.7</v>
      </c>
      <c r="G83">
        <v>15.4</v>
      </c>
      <c r="H83">
        <v>59.4</v>
      </c>
      <c r="I83">
        <v>1.7</v>
      </c>
    </row>
    <row r="84" spans="1:9" x14ac:dyDescent="0.45">
      <c r="A84">
        <v>83</v>
      </c>
      <c r="B84" t="s">
        <v>91</v>
      </c>
      <c r="C84">
        <v>8.4</v>
      </c>
      <c r="D84">
        <v>6</v>
      </c>
      <c r="E84">
        <v>7.3</v>
      </c>
      <c r="F84">
        <v>16.600000000000001</v>
      </c>
      <c r="G84">
        <v>13.6</v>
      </c>
      <c r="H84">
        <v>86.9</v>
      </c>
      <c r="I84">
        <v>1.2</v>
      </c>
    </row>
    <row r="85" spans="1:9" x14ac:dyDescent="0.45">
      <c r="A85">
        <v>84</v>
      </c>
      <c r="B85" t="s">
        <v>92</v>
      </c>
      <c r="C85">
        <v>8.4</v>
      </c>
      <c r="D85">
        <v>3.7</v>
      </c>
      <c r="E85">
        <v>4.0999999999999996</v>
      </c>
      <c r="F85">
        <v>27.2</v>
      </c>
      <c r="G85">
        <v>24.4</v>
      </c>
      <c r="H85">
        <v>62.9</v>
      </c>
      <c r="I85">
        <v>1.6</v>
      </c>
    </row>
    <row r="86" spans="1:9" x14ac:dyDescent="0.45">
      <c r="A86">
        <v>85</v>
      </c>
      <c r="B86" t="s">
        <v>93</v>
      </c>
      <c r="C86">
        <v>8.1999999999999993</v>
      </c>
      <c r="D86">
        <v>6.9</v>
      </c>
      <c r="E86">
        <v>7.3</v>
      </c>
      <c r="F86">
        <v>14.6</v>
      </c>
      <c r="G86">
        <v>13.7</v>
      </c>
      <c r="H86">
        <v>61.2</v>
      </c>
      <c r="I86">
        <v>1.6</v>
      </c>
    </row>
    <row r="87" spans="1:9" x14ac:dyDescent="0.45">
      <c r="A87">
        <v>86</v>
      </c>
      <c r="B87" t="s">
        <v>94</v>
      </c>
      <c r="C87">
        <v>8.1</v>
      </c>
      <c r="D87">
        <v>4.3</v>
      </c>
      <c r="E87">
        <v>4.5</v>
      </c>
      <c r="F87">
        <v>23.4</v>
      </c>
      <c r="G87">
        <v>22.3</v>
      </c>
      <c r="H87">
        <v>71.900000000000006</v>
      </c>
      <c r="I87">
        <v>1.4</v>
      </c>
    </row>
    <row r="88" spans="1:9" x14ac:dyDescent="0.45">
      <c r="A88">
        <v>87</v>
      </c>
      <c r="B88" t="s">
        <v>95</v>
      </c>
      <c r="C88">
        <v>8</v>
      </c>
      <c r="D88">
        <v>3.2</v>
      </c>
      <c r="E88">
        <v>4</v>
      </c>
      <c r="F88">
        <v>30.9</v>
      </c>
      <c r="G88">
        <v>24.7</v>
      </c>
      <c r="H88">
        <v>56.7</v>
      </c>
      <c r="I88">
        <v>1.8</v>
      </c>
    </row>
    <row r="89" spans="1:9" x14ac:dyDescent="0.45">
      <c r="A89">
        <v>88</v>
      </c>
      <c r="B89" t="s">
        <v>96</v>
      </c>
      <c r="C89">
        <v>7.7</v>
      </c>
      <c r="D89">
        <v>3.5</v>
      </c>
      <c r="E89">
        <v>4.0999999999999996</v>
      </c>
      <c r="F89">
        <v>28.3</v>
      </c>
      <c r="G89">
        <v>24.3</v>
      </c>
      <c r="H89">
        <v>58.6</v>
      </c>
      <c r="I89">
        <v>1.7</v>
      </c>
    </row>
    <row r="90" spans="1:9" x14ac:dyDescent="0.45">
      <c r="A90">
        <v>89</v>
      </c>
      <c r="B90" t="s">
        <v>97</v>
      </c>
      <c r="C90">
        <v>7.7</v>
      </c>
      <c r="D90">
        <v>5</v>
      </c>
      <c r="E90">
        <v>5.3</v>
      </c>
      <c r="F90">
        <v>20</v>
      </c>
      <c r="G90">
        <v>19</v>
      </c>
      <c r="H90">
        <v>57.2</v>
      </c>
      <c r="I90">
        <v>1.7</v>
      </c>
    </row>
    <row r="91" spans="1:9" x14ac:dyDescent="0.45">
      <c r="A91">
        <v>90</v>
      </c>
      <c r="B91" t="s">
        <v>98</v>
      </c>
      <c r="C91">
        <v>7.3</v>
      </c>
      <c r="D91">
        <v>4.5</v>
      </c>
      <c r="E91">
        <v>4.5999999999999996</v>
      </c>
      <c r="F91">
        <v>22.2</v>
      </c>
      <c r="G91">
        <v>21.8</v>
      </c>
      <c r="H91">
        <v>67</v>
      </c>
      <c r="I91">
        <v>1.5</v>
      </c>
    </row>
    <row r="92" spans="1:9" x14ac:dyDescent="0.45">
      <c r="A92">
        <v>91</v>
      </c>
      <c r="B92" t="s">
        <v>99</v>
      </c>
      <c r="C92">
        <v>7.3</v>
      </c>
      <c r="D92">
        <v>3.2</v>
      </c>
      <c r="E92">
        <v>5</v>
      </c>
      <c r="F92">
        <v>30.8</v>
      </c>
      <c r="G92">
        <v>19.8</v>
      </c>
      <c r="H92">
        <v>60.7</v>
      </c>
      <c r="I92">
        <v>1.6</v>
      </c>
    </row>
    <row r="93" spans="1:9" x14ac:dyDescent="0.45">
      <c r="A93">
        <v>92</v>
      </c>
      <c r="B93" t="s">
        <v>100</v>
      </c>
      <c r="C93">
        <v>7</v>
      </c>
      <c r="D93">
        <v>6.2</v>
      </c>
      <c r="E93">
        <v>7.6</v>
      </c>
      <c r="F93">
        <v>16.2</v>
      </c>
      <c r="G93">
        <v>13.1</v>
      </c>
      <c r="H93">
        <v>53.9</v>
      </c>
      <c r="I93">
        <v>1.9</v>
      </c>
    </row>
    <row r="94" spans="1:9" x14ac:dyDescent="0.45">
      <c r="A94">
        <v>93</v>
      </c>
      <c r="B94" t="s">
        <v>101</v>
      </c>
      <c r="C94">
        <v>7</v>
      </c>
      <c r="D94">
        <v>6.5</v>
      </c>
      <c r="E94">
        <v>6.9</v>
      </c>
      <c r="F94">
        <v>15.3</v>
      </c>
      <c r="G94">
        <v>14.5</v>
      </c>
      <c r="H94">
        <v>67.3</v>
      </c>
      <c r="I94">
        <v>1.5</v>
      </c>
    </row>
    <row r="95" spans="1:9" x14ac:dyDescent="0.45">
      <c r="A95">
        <v>94</v>
      </c>
      <c r="B95" t="s">
        <v>102</v>
      </c>
      <c r="C95">
        <v>6.8</v>
      </c>
      <c r="D95">
        <v>4.5999999999999996</v>
      </c>
      <c r="E95">
        <v>4.9000000000000004</v>
      </c>
      <c r="F95">
        <v>21.9</v>
      </c>
      <c r="G95">
        <v>20.3</v>
      </c>
      <c r="H95">
        <v>48</v>
      </c>
      <c r="I95">
        <v>2.1</v>
      </c>
    </row>
    <row r="96" spans="1:9" x14ac:dyDescent="0.45">
      <c r="A96">
        <v>95</v>
      </c>
      <c r="B96" t="s">
        <v>103</v>
      </c>
      <c r="C96">
        <v>6.7</v>
      </c>
      <c r="D96">
        <v>7.7</v>
      </c>
      <c r="E96">
        <v>8.1</v>
      </c>
      <c r="F96">
        <v>13</v>
      </c>
      <c r="G96">
        <v>12.4</v>
      </c>
      <c r="H96">
        <v>51.1</v>
      </c>
      <c r="I96">
        <v>2</v>
      </c>
    </row>
    <row r="97" spans="1:9" x14ac:dyDescent="0.45">
      <c r="A97">
        <v>96</v>
      </c>
      <c r="B97" t="s">
        <v>104</v>
      </c>
      <c r="C97">
        <v>6.7</v>
      </c>
      <c r="D97">
        <v>6.1</v>
      </c>
      <c r="E97">
        <v>6.4</v>
      </c>
      <c r="F97">
        <v>16.3</v>
      </c>
      <c r="G97">
        <v>15.5</v>
      </c>
      <c r="H97">
        <v>74.599999999999994</v>
      </c>
      <c r="I97">
        <v>1.3</v>
      </c>
    </row>
    <row r="98" spans="1:9" x14ac:dyDescent="0.45">
      <c r="A98">
        <v>97</v>
      </c>
      <c r="B98" t="s">
        <v>105</v>
      </c>
      <c r="C98">
        <v>6.6</v>
      </c>
      <c r="D98">
        <v>7.1</v>
      </c>
      <c r="E98">
        <v>7.2</v>
      </c>
      <c r="F98">
        <v>14.2</v>
      </c>
      <c r="G98">
        <v>13.8</v>
      </c>
      <c r="H98">
        <v>64.7</v>
      </c>
      <c r="I98">
        <v>1.5</v>
      </c>
    </row>
    <row r="99" spans="1:9" x14ac:dyDescent="0.45">
      <c r="A99">
        <v>98</v>
      </c>
      <c r="B99" t="s">
        <v>106</v>
      </c>
      <c r="C99">
        <v>6.5</v>
      </c>
      <c r="D99">
        <v>4.3</v>
      </c>
      <c r="E99">
        <v>4.9000000000000004</v>
      </c>
      <c r="F99">
        <v>23.1</v>
      </c>
      <c r="G99">
        <v>20.5</v>
      </c>
      <c r="H99">
        <v>48.1</v>
      </c>
      <c r="I99">
        <v>2.1</v>
      </c>
    </row>
    <row r="100" spans="1:9" x14ac:dyDescent="0.45">
      <c r="A100">
        <v>99</v>
      </c>
      <c r="B100" t="s">
        <v>107</v>
      </c>
      <c r="C100">
        <v>5.2</v>
      </c>
      <c r="D100">
        <v>6.7</v>
      </c>
      <c r="E100">
        <v>6.3</v>
      </c>
      <c r="F100">
        <v>14.9</v>
      </c>
      <c r="G100">
        <v>15.8</v>
      </c>
      <c r="H100">
        <v>42.2</v>
      </c>
      <c r="I100">
        <v>2.4</v>
      </c>
    </row>
    <row r="101" spans="1:9" x14ac:dyDescent="0.45">
      <c r="A101">
        <v>100</v>
      </c>
      <c r="B101" t="s">
        <v>108</v>
      </c>
      <c r="C101">
        <v>4.2</v>
      </c>
      <c r="D101">
        <v>7.7</v>
      </c>
      <c r="E101">
        <v>7.8</v>
      </c>
      <c r="F101">
        <v>13</v>
      </c>
      <c r="G101">
        <v>12.8</v>
      </c>
      <c r="H101">
        <v>34.299999999999997</v>
      </c>
      <c r="I101">
        <v>2.9</v>
      </c>
    </row>
    <row r="102" spans="1:9" x14ac:dyDescent="0.45">
      <c r="A102">
        <v>101</v>
      </c>
      <c r="B102" t="s">
        <v>109</v>
      </c>
      <c r="C102">
        <v>3.3</v>
      </c>
      <c r="D102">
        <v>11.7</v>
      </c>
      <c r="E102">
        <v>11.4</v>
      </c>
      <c r="F102">
        <v>8.6</v>
      </c>
      <c r="G102">
        <v>8.8000000000000007</v>
      </c>
      <c r="H102">
        <v>30.1</v>
      </c>
      <c r="I102">
        <v>3.3</v>
      </c>
    </row>
    <row r="103" spans="1:9" x14ac:dyDescent="0.45">
      <c r="A103">
        <v>102</v>
      </c>
      <c r="B103" t="s">
        <v>110</v>
      </c>
      <c r="C103">
        <v>3.2</v>
      </c>
      <c r="D103">
        <v>10.3</v>
      </c>
      <c r="E103">
        <v>10.7</v>
      </c>
      <c r="F103">
        <v>9.6999999999999993</v>
      </c>
      <c r="G103">
        <v>9.3000000000000007</v>
      </c>
      <c r="H103">
        <v>41.6</v>
      </c>
      <c r="I103">
        <v>2.4</v>
      </c>
    </row>
    <row r="104" spans="1:9" x14ac:dyDescent="0.45">
      <c r="A104">
        <v>103</v>
      </c>
      <c r="B104" t="s">
        <v>111</v>
      </c>
      <c r="C104">
        <v>3.1</v>
      </c>
      <c r="D104">
        <v>7.2</v>
      </c>
      <c r="E104">
        <v>6.8</v>
      </c>
      <c r="F104">
        <v>13.9</v>
      </c>
      <c r="G104">
        <v>14.8</v>
      </c>
      <c r="H104">
        <v>24.6</v>
      </c>
      <c r="I104">
        <v>4.0999999999999996</v>
      </c>
    </row>
    <row r="105" spans="1:9" x14ac:dyDescent="0.45">
      <c r="A105">
        <v>104</v>
      </c>
      <c r="B105" t="s">
        <v>112</v>
      </c>
      <c r="C105">
        <v>3.1</v>
      </c>
      <c r="D105">
        <v>6.3</v>
      </c>
      <c r="E105">
        <v>7.4</v>
      </c>
      <c r="F105">
        <v>15.9</v>
      </c>
      <c r="G105">
        <v>13.5</v>
      </c>
      <c r="H105">
        <v>24</v>
      </c>
      <c r="I105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D106-5581-4E39-9F49-406757605A23}">
  <dimension ref="A1:I122"/>
  <sheetViews>
    <sheetView topLeftCell="A102" workbookViewId="0">
      <selection activeCell="B1" sqref="B1:C122"/>
    </sheetView>
  </sheetViews>
  <sheetFormatPr defaultRowHeight="14.25" x14ac:dyDescent="0.45"/>
  <cols>
    <col min="3" max="3" width="17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113</v>
      </c>
      <c r="C2">
        <v>31.1</v>
      </c>
      <c r="D2">
        <v>1.9</v>
      </c>
      <c r="E2">
        <v>10</v>
      </c>
      <c r="F2">
        <v>53.7</v>
      </c>
      <c r="G2">
        <v>10</v>
      </c>
      <c r="H2">
        <v>649.4</v>
      </c>
      <c r="I2">
        <v>0.2</v>
      </c>
    </row>
    <row r="3" spans="1:9" x14ac:dyDescent="0.45">
      <c r="A3">
        <v>2</v>
      </c>
      <c r="B3" t="s">
        <v>9</v>
      </c>
      <c r="C3">
        <v>30.5</v>
      </c>
      <c r="D3">
        <v>3.9</v>
      </c>
      <c r="E3">
        <v>3.1</v>
      </c>
      <c r="F3">
        <v>25.3</v>
      </c>
      <c r="G3">
        <v>31.8</v>
      </c>
      <c r="H3">
        <v>283.7</v>
      </c>
      <c r="I3">
        <v>0.4</v>
      </c>
    </row>
    <row r="4" spans="1:9" x14ac:dyDescent="0.45">
      <c r="A4">
        <v>3</v>
      </c>
      <c r="B4" t="s">
        <v>114</v>
      </c>
      <c r="C4">
        <v>30.1</v>
      </c>
      <c r="D4">
        <v>2.7</v>
      </c>
      <c r="E4">
        <v>2.8</v>
      </c>
      <c r="F4">
        <v>37.5</v>
      </c>
      <c r="G4">
        <v>36.1</v>
      </c>
      <c r="H4">
        <v>193</v>
      </c>
      <c r="I4">
        <v>0.5</v>
      </c>
    </row>
    <row r="5" spans="1:9" x14ac:dyDescent="0.45">
      <c r="A5">
        <v>4</v>
      </c>
      <c r="B5" t="s">
        <v>115</v>
      </c>
      <c r="C5">
        <v>26.8</v>
      </c>
      <c r="D5">
        <v>8.5</v>
      </c>
      <c r="E5">
        <v>2.9</v>
      </c>
      <c r="F5">
        <v>11.8</v>
      </c>
      <c r="G5">
        <v>33.9</v>
      </c>
      <c r="H5">
        <v>318</v>
      </c>
      <c r="I5">
        <v>0.3</v>
      </c>
    </row>
    <row r="6" spans="1:9" x14ac:dyDescent="0.45">
      <c r="A6">
        <v>5</v>
      </c>
      <c r="B6" t="s">
        <v>116</v>
      </c>
      <c r="C6">
        <v>26.6</v>
      </c>
      <c r="D6">
        <v>10.8</v>
      </c>
      <c r="E6">
        <v>13.4</v>
      </c>
      <c r="F6">
        <v>9.3000000000000007</v>
      </c>
      <c r="G6">
        <v>7.4</v>
      </c>
      <c r="H6">
        <v>670.4</v>
      </c>
      <c r="I6">
        <v>0.1</v>
      </c>
    </row>
    <row r="7" spans="1:9" x14ac:dyDescent="0.45">
      <c r="A7">
        <v>6</v>
      </c>
      <c r="B7" t="s">
        <v>16</v>
      </c>
      <c r="C7">
        <v>26.4</v>
      </c>
      <c r="D7">
        <v>2.8</v>
      </c>
      <c r="E7">
        <v>3</v>
      </c>
      <c r="F7">
        <v>35.9</v>
      </c>
      <c r="G7">
        <v>33.299999999999997</v>
      </c>
      <c r="H7">
        <v>230.6</v>
      </c>
      <c r="I7">
        <v>0.4</v>
      </c>
    </row>
    <row r="8" spans="1:9" x14ac:dyDescent="0.45">
      <c r="A8">
        <v>7</v>
      </c>
      <c r="B8" t="s">
        <v>30</v>
      </c>
      <c r="C8">
        <v>25.4</v>
      </c>
      <c r="D8">
        <v>5.3</v>
      </c>
      <c r="E8">
        <v>1.7</v>
      </c>
      <c r="F8">
        <v>18.899999999999999</v>
      </c>
      <c r="G8">
        <v>60.3</v>
      </c>
      <c r="H8">
        <v>336.1</v>
      </c>
      <c r="I8">
        <v>0.3</v>
      </c>
    </row>
    <row r="9" spans="1:9" x14ac:dyDescent="0.45">
      <c r="A9">
        <v>8</v>
      </c>
      <c r="B9" t="s">
        <v>22</v>
      </c>
      <c r="C9">
        <v>25</v>
      </c>
      <c r="D9">
        <v>1.4</v>
      </c>
      <c r="E9">
        <v>1.8</v>
      </c>
      <c r="F9">
        <v>71.400000000000006</v>
      </c>
      <c r="G9">
        <v>55.5</v>
      </c>
      <c r="H9">
        <v>152.30000000000001</v>
      </c>
      <c r="I9">
        <v>0.7</v>
      </c>
    </row>
    <row r="10" spans="1:9" x14ac:dyDescent="0.45">
      <c r="A10">
        <v>9</v>
      </c>
      <c r="B10" t="s">
        <v>17</v>
      </c>
      <c r="C10">
        <v>23.9</v>
      </c>
      <c r="D10">
        <v>5.2</v>
      </c>
      <c r="E10">
        <v>7.6</v>
      </c>
      <c r="F10">
        <v>19.3</v>
      </c>
      <c r="G10">
        <v>13.1</v>
      </c>
      <c r="H10">
        <v>285.60000000000002</v>
      </c>
      <c r="I10">
        <v>0.4</v>
      </c>
    </row>
    <row r="11" spans="1:9" x14ac:dyDescent="0.45">
      <c r="A11">
        <v>10</v>
      </c>
      <c r="B11" t="s">
        <v>38</v>
      </c>
      <c r="C11">
        <v>22.2</v>
      </c>
      <c r="D11">
        <v>12.5</v>
      </c>
      <c r="E11">
        <v>9.3000000000000007</v>
      </c>
      <c r="F11">
        <v>8</v>
      </c>
      <c r="G11">
        <v>10.8</v>
      </c>
      <c r="H11">
        <v>333.4</v>
      </c>
      <c r="I11">
        <v>0.3</v>
      </c>
    </row>
    <row r="12" spans="1:9" x14ac:dyDescent="0.45">
      <c r="A12">
        <v>11</v>
      </c>
      <c r="B12" t="s">
        <v>25</v>
      </c>
      <c r="C12">
        <v>22.1</v>
      </c>
      <c r="D12">
        <v>2.2000000000000002</v>
      </c>
      <c r="E12">
        <v>2.4</v>
      </c>
      <c r="F12">
        <v>45.3</v>
      </c>
      <c r="G12">
        <v>41.5</v>
      </c>
      <c r="H12">
        <v>228.8</v>
      </c>
      <c r="I12">
        <v>0.4</v>
      </c>
    </row>
    <row r="13" spans="1:9" x14ac:dyDescent="0.45">
      <c r="A13">
        <v>12</v>
      </c>
      <c r="B13" t="s">
        <v>19</v>
      </c>
      <c r="C13">
        <v>21.4</v>
      </c>
      <c r="D13">
        <v>3.4</v>
      </c>
      <c r="E13">
        <v>3.9</v>
      </c>
      <c r="F13">
        <v>29.2</v>
      </c>
      <c r="G13">
        <v>25.7</v>
      </c>
      <c r="H13">
        <v>133.30000000000001</v>
      </c>
      <c r="I13">
        <v>0.8</v>
      </c>
    </row>
    <row r="14" spans="1:9" x14ac:dyDescent="0.45">
      <c r="A14">
        <v>13</v>
      </c>
      <c r="B14" t="s">
        <v>117</v>
      </c>
      <c r="C14">
        <v>21.1</v>
      </c>
      <c r="D14">
        <v>10.8</v>
      </c>
      <c r="E14">
        <v>7.8</v>
      </c>
      <c r="F14">
        <v>9.3000000000000007</v>
      </c>
      <c r="G14">
        <v>12.7</v>
      </c>
      <c r="H14">
        <v>232.1</v>
      </c>
      <c r="I14">
        <v>0.4</v>
      </c>
    </row>
    <row r="15" spans="1:9" x14ac:dyDescent="0.45">
      <c r="A15">
        <v>14</v>
      </c>
      <c r="B15" t="s">
        <v>31</v>
      </c>
      <c r="C15">
        <v>20.9</v>
      </c>
      <c r="D15">
        <v>2.7</v>
      </c>
      <c r="E15">
        <v>3.4</v>
      </c>
      <c r="F15">
        <v>37</v>
      </c>
      <c r="G15">
        <v>29.4</v>
      </c>
      <c r="H15">
        <v>161.5</v>
      </c>
      <c r="I15">
        <v>0.6</v>
      </c>
    </row>
    <row r="16" spans="1:9" x14ac:dyDescent="0.45">
      <c r="A16">
        <v>15</v>
      </c>
      <c r="B16" t="s">
        <v>23</v>
      </c>
      <c r="C16">
        <v>20.8</v>
      </c>
      <c r="D16">
        <v>5</v>
      </c>
      <c r="E16">
        <v>5.5</v>
      </c>
      <c r="F16">
        <v>19.8</v>
      </c>
      <c r="G16">
        <v>18.100000000000001</v>
      </c>
      <c r="H16">
        <v>468.1</v>
      </c>
      <c r="I16">
        <v>0.2</v>
      </c>
    </row>
    <row r="17" spans="1:9" x14ac:dyDescent="0.45">
      <c r="A17">
        <v>16</v>
      </c>
      <c r="B17" t="s">
        <v>18</v>
      </c>
      <c r="C17">
        <v>20.8</v>
      </c>
      <c r="D17">
        <v>3.9</v>
      </c>
      <c r="E17">
        <v>3.2</v>
      </c>
      <c r="F17">
        <v>25.4</v>
      </c>
      <c r="G17">
        <v>31.1</v>
      </c>
      <c r="H17">
        <v>179.5</v>
      </c>
      <c r="I17">
        <v>0.6</v>
      </c>
    </row>
    <row r="18" spans="1:9" x14ac:dyDescent="0.45">
      <c r="A18">
        <v>17</v>
      </c>
      <c r="B18" t="s">
        <v>14</v>
      </c>
      <c r="C18">
        <v>19.7</v>
      </c>
      <c r="D18">
        <v>2.6</v>
      </c>
      <c r="E18">
        <v>2.8</v>
      </c>
      <c r="F18">
        <v>38.299999999999997</v>
      </c>
      <c r="G18">
        <v>35.200000000000003</v>
      </c>
      <c r="H18">
        <v>257.39999999999998</v>
      </c>
      <c r="I18">
        <v>0.4</v>
      </c>
    </row>
    <row r="19" spans="1:9" x14ac:dyDescent="0.45">
      <c r="A19">
        <v>18</v>
      </c>
      <c r="B19" t="s">
        <v>40</v>
      </c>
      <c r="C19">
        <v>18.899999999999999</v>
      </c>
      <c r="D19">
        <v>6.2</v>
      </c>
      <c r="E19">
        <v>5.7</v>
      </c>
      <c r="F19">
        <v>16</v>
      </c>
      <c r="G19">
        <v>17.399999999999999</v>
      </c>
      <c r="H19">
        <v>217.4</v>
      </c>
      <c r="I19">
        <v>0.5</v>
      </c>
    </row>
    <row r="20" spans="1:9" x14ac:dyDescent="0.45">
      <c r="A20">
        <v>19</v>
      </c>
      <c r="B20" t="s">
        <v>20</v>
      </c>
      <c r="C20">
        <v>18.5</v>
      </c>
      <c r="D20">
        <v>3.1</v>
      </c>
      <c r="E20">
        <v>2.7</v>
      </c>
      <c r="F20">
        <v>32.299999999999997</v>
      </c>
      <c r="G20">
        <v>37.700000000000003</v>
      </c>
      <c r="H20">
        <v>198.6</v>
      </c>
      <c r="I20">
        <v>0.5</v>
      </c>
    </row>
    <row r="21" spans="1:9" x14ac:dyDescent="0.45">
      <c r="A21">
        <v>20</v>
      </c>
      <c r="B21" t="s">
        <v>48</v>
      </c>
      <c r="C21">
        <v>17.399999999999999</v>
      </c>
      <c r="D21">
        <v>6</v>
      </c>
      <c r="E21">
        <v>5.9</v>
      </c>
      <c r="F21">
        <v>16.8</v>
      </c>
      <c r="G21">
        <v>17</v>
      </c>
      <c r="H21">
        <v>349.3</v>
      </c>
      <c r="I21">
        <v>0.3</v>
      </c>
    </row>
    <row r="22" spans="1:9" x14ac:dyDescent="0.45">
      <c r="A22">
        <v>21</v>
      </c>
      <c r="B22" t="s">
        <v>52</v>
      </c>
      <c r="C22">
        <v>17.100000000000001</v>
      </c>
      <c r="D22">
        <v>5.2</v>
      </c>
      <c r="E22">
        <v>5.7</v>
      </c>
      <c r="F22">
        <v>19.3</v>
      </c>
      <c r="G22">
        <v>17.600000000000001</v>
      </c>
      <c r="H22">
        <v>267.3</v>
      </c>
      <c r="I22">
        <v>0.4</v>
      </c>
    </row>
    <row r="23" spans="1:9" x14ac:dyDescent="0.45">
      <c r="A23">
        <v>22</v>
      </c>
      <c r="B23" t="s">
        <v>33</v>
      </c>
      <c r="C23">
        <v>17.100000000000001</v>
      </c>
      <c r="D23">
        <v>2.8</v>
      </c>
      <c r="E23">
        <v>3.1</v>
      </c>
      <c r="F23">
        <v>35.6</v>
      </c>
      <c r="G23">
        <v>31.8</v>
      </c>
      <c r="H23">
        <v>155.30000000000001</v>
      </c>
      <c r="I23">
        <v>0.6</v>
      </c>
    </row>
    <row r="24" spans="1:9" x14ac:dyDescent="0.45">
      <c r="A24">
        <v>23</v>
      </c>
      <c r="B24" t="s">
        <v>118</v>
      </c>
      <c r="C24">
        <v>16.8</v>
      </c>
      <c r="D24">
        <v>8.3000000000000007</v>
      </c>
      <c r="E24">
        <v>4.0999999999999996</v>
      </c>
      <c r="F24">
        <v>12</v>
      </c>
      <c r="G24">
        <v>24.2</v>
      </c>
      <c r="H24">
        <v>287.3</v>
      </c>
      <c r="I24">
        <v>0.3</v>
      </c>
    </row>
    <row r="25" spans="1:9" x14ac:dyDescent="0.45">
      <c r="A25">
        <v>24</v>
      </c>
      <c r="B25" t="s">
        <v>37</v>
      </c>
      <c r="C25">
        <v>16.7</v>
      </c>
      <c r="D25">
        <v>4.2</v>
      </c>
      <c r="E25">
        <v>4.3</v>
      </c>
      <c r="F25">
        <v>23.6</v>
      </c>
      <c r="G25">
        <v>23.1</v>
      </c>
      <c r="H25">
        <v>200.6</v>
      </c>
      <c r="I25">
        <v>0.5</v>
      </c>
    </row>
    <row r="26" spans="1:9" x14ac:dyDescent="0.45">
      <c r="A26">
        <v>25</v>
      </c>
      <c r="B26" t="s">
        <v>47</v>
      </c>
      <c r="C26">
        <v>16.7</v>
      </c>
      <c r="D26">
        <v>6.4</v>
      </c>
      <c r="E26">
        <v>7.2</v>
      </c>
      <c r="F26">
        <v>15.6</v>
      </c>
      <c r="G26">
        <v>13.9</v>
      </c>
      <c r="H26">
        <v>234.7</v>
      </c>
      <c r="I26">
        <v>0.4</v>
      </c>
    </row>
    <row r="27" spans="1:9" x14ac:dyDescent="0.45">
      <c r="A27">
        <v>26</v>
      </c>
      <c r="B27" t="s">
        <v>59</v>
      </c>
      <c r="C27">
        <v>16.399999999999999</v>
      </c>
      <c r="D27">
        <v>5.5</v>
      </c>
      <c r="E27">
        <v>5.2</v>
      </c>
      <c r="F27">
        <v>18.3</v>
      </c>
      <c r="G27">
        <v>19.100000000000001</v>
      </c>
      <c r="H27">
        <v>545.5</v>
      </c>
      <c r="I27">
        <v>0.2</v>
      </c>
    </row>
    <row r="28" spans="1:9" x14ac:dyDescent="0.45">
      <c r="A28">
        <v>27</v>
      </c>
      <c r="B28" t="s">
        <v>26</v>
      </c>
      <c r="C28">
        <v>16.3</v>
      </c>
      <c r="D28">
        <v>6</v>
      </c>
      <c r="E28">
        <v>6.5</v>
      </c>
      <c r="F28">
        <v>16.600000000000001</v>
      </c>
      <c r="G28">
        <v>15.4</v>
      </c>
      <c r="H28">
        <v>189.8</v>
      </c>
      <c r="I28">
        <v>0.5</v>
      </c>
    </row>
    <row r="29" spans="1:9" x14ac:dyDescent="0.45">
      <c r="A29">
        <v>28</v>
      </c>
      <c r="B29" t="s">
        <v>39</v>
      </c>
      <c r="C29">
        <v>16.2</v>
      </c>
      <c r="D29">
        <v>4</v>
      </c>
      <c r="E29">
        <v>5.7</v>
      </c>
      <c r="F29">
        <v>25</v>
      </c>
      <c r="G29">
        <v>17.5</v>
      </c>
      <c r="H29">
        <v>143.69999999999999</v>
      </c>
      <c r="I29">
        <v>0.7</v>
      </c>
    </row>
    <row r="30" spans="1:9" x14ac:dyDescent="0.45">
      <c r="A30">
        <v>29</v>
      </c>
      <c r="B30" t="s">
        <v>35</v>
      </c>
      <c r="C30">
        <v>16.2</v>
      </c>
      <c r="D30">
        <v>7.7</v>
      </c>
      <c r="E30">
        <v>9</v>
      </c>
      <c r="F30">
        <v>13</v>
      </c>
      <c r="G30">
        <v>11.1</v>
      </c>
      <c r="H30">
        <v>185.7</v>
      </c>
      <c r="I30">
        <v>0.5</v>
      </c>
    </row>
    <row r="31" spans="1:9" x14ac:dyDescent="0.45">
      <c r="A31">
        <v>30</v>
      </c>
      <c r="B31" t="s">
        <v>51</v>
      </c>
      <c r="C31">
        <v>16.100000000000001</v>
      </c>
      <c r="D31">
        <v>4.8</v>
      </c>
      <c r="E31">
        <v>3.6</v>
      </c>
      <c r="F31">
        <v>21</v>
      </c>
      <c r="G31">
        <v>27.8</v>
      </c>
      <c r="H31">
        <v>136</v>
      </c>
      <c r="I31">
        <v>0.7</v>
      </c>
    </row>
    <row r="32" spans="1:9" x14ac:dyDescent="0.45">
      <c r="A32">
        <v>31</v>
      </c>
      <c r="B32" t="s">
        <v>58</v>
      </c>
      <c r="C32">
        <v>16.100000000000001</v>
      </c>
      <c r="D32">
        <v>3.1</v>
      </c>
      <c r="E32">
        <v>3.2</v>
      </c>
      <c r="F32">
        <v>32.700000000000003</v>
      </c>
      <c r="G32">
        <v>31</v>
      </c>
      <c r="H32">
        <v>170.2</v>
      </c>
      <c r="I32">
        <v>0.6</v>
      </c>
    </row>
    <row r="33" spans="1:9" x14ac:dyDescent="0.45">
      <c r="A33">
        <v>32</v>
      </c>
      <c r="B33" t="s">
        <v>64</v>
      </c>
      <c r="C33">
        <v>15.4</v>
      </c>
      <c r="D33">
        <v>3.5</v>
      </c>
      <c r="E33">
        <v>3.5</v>
      </c>
      <c r="F33">
        <v>28.9</v>
      </c>
      <c r="G33">
        <v>28.5</v>
      </c>
      <c r="H33">
        <v>148.1</v>
      </c>
      <c r="I33">
        <v>0.7</v>
      </c>
    </row>
    <row r="34" spans="1:9" x14ac:dyDescent="0.45">
      <c r="A34">
        <v>33</v>
      </c>
      <c r="B34" t="s">
        <v>11</v>
      </c>
      <c r="C34">
        <v>15.4</v>
      </c>
      <c r="D34">
        <v>12</v>
      </c>
      <c r="E34">
        <v>7.7</v>
      </c>
      <c r="F34">
        <v>8.4</v>
      </c>
      <c r="G34">
        <v>13</v>
      </c>
      <c r="H34">
        <v>175</v>
      </c>
      <c r="I34">
        <v>0.6</v>
      </c>
    </row>
    <row r="35" spans="1:9" x14ac:dyDescent="0.45">
      <c r="A35">
        <v>34</v>
      </c>
      <c r="B35" t="s">
        <v>62</v>
      </c>
      <c r="C35">
        <v>15.2</v>
      </c>
      <c r="D35">
        <v>6.8</v>
      </c>
      <c r="E35">
        <v>6.6</v>
      </c>
      <c r="F35">
        <v>14.8</v>
      </c>
      <c r="G35">
        <v>15.2</v>
      </c>
      <c r="H35">
        <v>208.6</v>
      </c>
      <c r="I35">
        <v>0.5</v>
      </c>
    </row>
    <row r="36" spans="1:9" x14ac:dyDescent="0.45">
      <c r="A36">
        <v>35</v>
      </c>
      <c r="B36" t="s">
        <v>68</v>
      </c>
      <c r="C36">
        <v>14.7</v>
      </c>
      <c r="D36">
        <v>7</v>
      </c>
      <c r="E36">
        <v>6.4</v>
      </c>
      <c r="F36">
        <v>14.2</v>
      </c>
      <c r="G36">
        <v>15.6</v>
      </c>
      <c r="H36">
        <v>167.7</v>
      </c>
      <c r="I36">
        <v>0.6</v>
      </c>
    </row>
    <row r="37" spans="1:9" x14ac:dyDescent="0.45">
      <c r="A37">
        <v>36</v>
      </c>
      <c r="B37" t="s">
        <v>50</v>
      </c>
      <c r="C37">
        <v>14.7</v>
      </c>
      <c r="D37">
        <v>6.8</v>
      </c>
      <c r="E37">
        <v>6.7</v>
      </c>
      <c r="F37">
        <v>14.7</v>
      </c>
      <c r="G37">
        <v>14.8</v>
      </c>
      <c r="H37">
        <v>277.5</v>
      </c>
      <c r="I37">
        <v>0.4</v>
      </c>
    </row>
    <row r="38" spans="1:9" x14ac:dyDescent="0.45">
      <c r="A38">
        <v>37</v>
      </c>
      <c r="B38" t="s">
        <v>42</v>
      </c>
      <c r="C38">
        <v>14.6</v>
      </c>
      <c r="D38">
        <v>6.9</v>
      </c>
      <c r="E38">
        <v>6.5</v>
      </c>
      <c r="F38">
        <v>14.6</v>
      </c>
      <c r="G38">
        <v>15.5</v>
      </c>
      <c r="H38">
        <v>210</v>
      </c>
      <c r="I38">
        <v>0.5</v>
      </c>
    </row>
    <row r="39" spans="1:9" x14ac:dyDescent="0.45">
      <c r="A39">
        <v>38</v>
      </c>
      <c r="B39" t="s">
        <v>36</v>
      </c>
      <c r="C39">
        <v>14.6</v>
      </c>
      <c r="D39">
        <v>3.5</v>
      </c>
      <c r="E39">
        <v>5.3</v>
      </c>
      <c r="F39">
        <v>28.6</v>
      </c>
      <c r="G39">
        <v>18.8</v>
      </c>
      <c r="H39">
        <v>138.4</v>
      </c>
      <c r="I39">
        <v>0.7</v>
      </c>
    </row>
    <row r="40" spans="1:9" x14ac:dyDescent="0.45">
      <c r="A40">
        <v>39</v>
      </c>
      <c r="B40" t="s">
        <v>28</v>
      </c>
      <c r="C40">
        <v>14.4</v>
      </c>
      <c r="D40">
        <v>6.1</v>
      </c>
      <c r="E40">
        <v>5.5</v>
      </c>
      <c r="F40">
        <v>16.5</v>
      </c>
      <c r="G40">
        <v>18.100000000000001</v>
      </c>
      <c r="H40">
        <v>188.6</v>
      </c>
      <c r="I40">
        <v>0.5</v>
      </c>
    </row>
    <row r="41" spans="1:9" x14ac:dyDescent="0.45">
      <c r="A41">
        <v>40</v>
      </c>
      <c r="B41" t="s">
        <v>43</v>
      </c>
      <c r="C41">
        <v>14.3</v>
      </c>
      <c r="D41">
        <v>3</v>
      </c>
      <c r="E41">
        <v>3.5</v>
      </c>
      <c r="F41">
        <v>33</v>
      </c>
      <c r="G41">
        <v>28.3</v>
      </c>
      <c r="H41">
        <v>218.2</v>
      </c>
      <c r="I41">
        <v>0.5</v>
      </c>
    </row>
    <row r="42" spans="1:9" x14ac:dyDescent="0.45">
      <c r="A42">
        <v>41</v>
      </c>
      <c r="B42" t="s">
        <v>13</v>
      </c>
      <c r="C42">
        <v>14.3</v>
      </c>
      <c r="D42">
        <v>7.9</v>
      </c>
      <c r="E42">
        <v>3.7</v>
      </c>
      <c r="F42">
        <v>12.7</v>
      </c>
      <c r="G42">
        <v>27</v>
      </c>
      <c r="H42">
        <v>226.1</v>
      </c>
      <c r="I42">
        <v>0.4</v>
      </c>
    </row>
    <row r="43" spans="1:9" x14ac:dyDescent="0.45">
      <c r="A43">
        <v>42</v>
      </c>
      <c r="B43" t="s">
        <v>119</v>
      </c>
      <c r="C43">
        <v>14.1</v>
      </c>
      <c r="D43">
        <v>6.5</v>
      </c>
      <c r="E43">
        <v>4.9000000000000004</v>
      </c>
      <c r="F43">
        <v>15.3</v>
      </c>
      <c r="G43">
        <v>20.5</v>
      </c>
      <c r="H43">
        <v>406</v>
      </c>
      <c r="I43">
        <v>0.2</v>
      </c>
    </row>
    <row r="44" spans="1:9" x14ac:dyDescent="0.45">
      <c r="A44">
        <v>43</v>
      </c>
      <c r="B44" t="s">
        <v>24</v>
      </c>
      <c r="C44">
        <v>13.4</v>
      </c>
      <c r="D44">
        <v>6.5</v>
      </c>
      <c r="E44">
        <v>5.3</v>
      </c>
      <c r="F44">
        <v>15.3</v>
      </c>
      <c r="G44">
        <v>18.8</v>
      </c>
      <c r="H44">
        <v>197.4</v>
      </c>
      <c r="I44">
        <v>0.5</v>
      </c>
    </row>
    <row r="45" spans="1:9" x14ac:dyDescent="0.45">
      <c r="A45">
        <v>44</v>
      </c>
      <c r="B45" t="s">
        <v>63</v>
      </c>
      <c r="C45">
        <v>12.9</v>
      </c>
      <c r="D45">
        <v>4.0999999999999996</v>
      </c>
      <c r="E45">
        <v>4.0999999999999996</v>
      </c>
      <c r="F45">
        <v>24.3</v>
      </c>
      <c r="G45">
        <v>24.4</v>
      </c>
      <c r="H45">
        <v>87.5</v>
      </c>
      <c r="I45">
        <v>1.1000000000000001</v>
      </c>
    </row>
    <row r="46" spans="1:9" x14ac:dyDescent="0.45">
      <c r="A46">
        <v>45</v>
      </c>
      <c r="B46" t="s">
        <v>82</v>
      </c>
      <c r="C46">
        <v>12.7</v>
      </c>
      <c r="D46">
        <v>5.9</v>
      </c>
      <c r="E46">
        <v>5.6</v>
      </c>
      <c r="F46">
        <v>17.100000000000001</v>
      </c>
      <c r="G46">
        <v>18</v>
      </c>
      <c r="H46">
        <v>186.7</v>
      </c>
      <c r="I46">
        <v>0.5</v>
      </c>
    </row>
    <row r="47" spans="1:9" x14ac:dyDescent="0.45">
      <c r="A47">
        <v>46</v>
      </c>
      <c r="B47" t="s">
        <v>53</v>
      </c>
      <c r="C47">
        <v>12.5</v>
      </c>
      <c r="D47">
        <v>3.2</v>
      </c>
      <c r="E47">
        <v>3.1</v>
      </c>
      <c r="F47">
        <v>31.7</v>
      </c>
      <c r="G47">
        <v>32.299999999999997</v>
      </c>
      <c r="H47">
        <v>123.7</v>
      </c>
      <c r="I47">
        <v>0.8</v>
      </c>
    </row>
    <row r="48" spans="1:9" x14ac:dyDescent="0.45">
      <c r="A48">
        <v>47</v>
      </c>
      <c r="B48" t="s">
        <v>60</v>
      </c>
      <c r="C48">
        <v>12.5</v>
      </c>
      <c r="D48">
        <v>3.1</v>
      </c>
      <c r="E48">
        <v>3.4</v>
      </c>
      <c r="F48">
        <v>32.5</v>
      </c>
      <c r="G48">
        <v>29.2</v>
      </c>
      <c r="H48">
        <v>110</v>
      </c>
      <c r="I48">
        <v>0.9</v>
      </c>
    </row>
    <row r="49" spans="1:9" x14ac:dyDescent="0.45">
      <c r="A49">
        <v>48</v>
      </c>
      <c r="B49" t="s">
        <v>120</v>
      </c>
      <c r="C49">
        <v>12.4</v>
      </c>
      <c r="D49">
        <v>8.4</v>
      </c>
      <c r="E49">
        <v>2</v>
      </c>
      <c r="F49">
        <v>12</v>
      </c>
      <c r="G49">
        <v>50.4</v>
      </c>
      <c r="H49">
        <v>159.1</v>
      </c>
      <c r="I49">
        <v>0.6</v>
      </c>
    </row>
    <row r="50" spans="1:9" x14ac:dyDescent="0.45">
      <c r="A50">
        <v>49</v>
      </c>
      <c r="B50" t="s">
        <v>89</v>
      </c>
      <c r="C50">
        <v>12.2</v>
      </c>
      <c r="D50">
        <v>3.9</v>
      </c>
      <c r="E50">
        <v>4.5999999999999996</v>
      </c>
      <c r="F50">
        <v>25.9</v>
      </c>
      <c r="G50">
        <v>21.6</v>
      </c>
      <c r="H50">
        <v>83.5</v>
      </c>
      <c r="I50">
        <v>1.2</v>
      </c>
    </row>
    <row r="51" spans="1:9" x14ac:dyDescent="0.45">
      <c r="A51">
        <v>50</v>
      </c>
      <c r="B51" t="s">
        <v>78</v>
      </c>
      <c r="C51">
        <v>11.8</v>
      </c>
      <c r="D51">
        <v>4.8</v>
      </c>
      <c r="E51">
        <v>4.8</v>
      </c>
      <c r="F51">
        <v>20.8</v>
      </c>
      <c r="G51">
        <v>20.7</v>
      </c>
      <c r="H51">
        <v>109</v>
      </c>
      <c r="I51">
        <v>0.9</v>
      </c>
    </row>
    <row r="52" spans="1:9" x14ac:dyDescent="0.45">
      <c r="A52">
        <v>51</v>
      </c>
      <c r="B52" t="s">
        <v>83</v>
      </c>
      <c r="C52">
        <v>11.7</v>
      </c>
      <c r="D52">
        <v>2.8</v>
      </c>
      <c r="E52">
        <v>3.6</v>
      </c>
      <c r="F52">
        <v>35.5</v>
      </c>
      <c r="G52">
        <v>28.1</v>
      </c>
      <c r="H52">
        <v>94.1</v>
      </c>
      <c r="I52">
        <v>1.1000000000000001</v>
      </c>
    </row>
    <row r="53" spans="1:9" x14ac:dyDescent="0.45">
      <c r="A53">
        <v>52</v>
      </c>
      <c r="B53" t="s">
        <v>71</v>
      </c>
      <c r="C53">
        <v>11.6</v>
      </c>
      <c r="D53">
        <v>4.2</v>
      </c>
      <c r="E53">
        <v>4.4000000000000004</v>
      </c>
      <c r="F53">
        <v>23.8</v>
      </c>
      <c r="G53">
        <v>23</v>
      </c>
      <c r="H53">
        <v>78.099999999999994</v>
      </c>
      <c r="I53">
        <v>1.3</v>
      </c>
    </row>
    <row r="54" spans="1:9" x14ac:dyDescent="0.45">
      <c r="A54">
        <v>53</v>
      </c>
      <c r="B54" t="s">
        <v>29</v>
      </c>
      <c r="C54">
        <v>11.6</v>
      </c>
      <c r="D54">
        <v>3.6</v>
      </c>
      <c r="E54">
        <v>3.8</v>
      </c>
      <c r="F54">
        <v>27.6</v>
      </c>
      <c r="G54">
        <v>26.6</v>
      </c>
      <c r="H54">
        <v>231.7</v>
      </c>
      <c r="I54">
        <v>0.4</v>
      </c>
    </row>
    <row r="55" spans="1:9" x14ac:dyDescent="0.45">
      <c r="A55">
        <v>54</v>
      </c>
      <c r="B55" t="s">
        <v>32</v>
      </c>
      <c r="C55">
        <v>11.5</v>
      </c>
      <c r="D55">
        <v>6</v>
      </c>
      <c r="E55">
        <v>7.8</v>
      </c>
      <c r="F55">
        <v>16.7</v>
      </c>
      <c r="G55">
        <v>12.8</v>
      </c>
      <c r="H55">
        <v>171.9</v>
      </c>
      <c r="I55">
        <v>0.6</v>
      </c>
    </row>
    <row r="56" spans="1:9" x14ac:dyDescent="0.45">
      <c r="A56">
        <v>55</v>
      </c>
      <c r="B56" t="s">
        <v>27</v>
      </c>
      <c r="C56">
        <v>11.3</v>
      </c>
      <c r="D56">
        <v>7.5</v>
      </c>
      <c r="E56">
        <v>7.9</v>
      </c>
      <c r="F56">
        <v>13.3</v>
      </c>
      <c r="G56">
        <v>12.6</v>
      </c>
      <c r="H56">
        <v>132.30000000000001</v>
      </c>
      <c r="I56">
        <v>0.8</v>
      </c>
    </row>
    <row r="57" spans="1:9" x14ac:dyDescent="0.45">
      <c r="A57">
        <v>56</v>
      </c>
      <c r="B57" t="s">
        <v>54</v>
      </c>
      <c r="C57">
        <v>11.2</v>
      </c>
      <c r="D57">
        <v>5.6</v>
      </c>
      <c r="E57">
        <v>5.9</v>
      </c>
      <c r="F57">
        <v>17.899999999999999</v>
      </c>
      <c r="G57">
        <v>16.899999999999999</v>
      </c>
      <c r="H57">
        <v>108.5</v>
      </c>
      <c r="I57">
        <v>0.9</v>
      </c>
    </row>
    <row r="58" spans="1:9" x14ac:dyDescent="0.45">
      <c r="A58">
        <v>57</v>
      </c>
      <c r="B58" t="s">
        <v>21</v>
      </c>
      <c r="C58">
        <v>11</v>
      </c>
      <c r="D58">
        <v>3.3</v>
      </c>
      <c r="E58">
        <v>3.8</v>
      </c>
      <c r="F58">
        <v>29.9</v>
      </c>
      <c r="G58">
        <v>26.6</v>
      </c>
      <c r="H58">
        <v>83.3</v>
      </c>
      <c r="I58">
        <v>1.2</v>
      </c>
    </row>
    <row r="59" spans="1:9" x14ac:dyDescent="0.45">
      <c r="A59">
        <v>58</v>
      </c>
      <c r="B59" t="s">
        <v>61</v>
      </c>
      <c r="C59">
        <v>10.9</v>
      </c>
      <c r="D59">
        <v>3.7</v>
      </c>
      <c r="E59">
        <v>4.3</v>
      </c>
      <c r="F59">
        <v>26.8</v>
      </c>
      <c r="G59">
        <v>23.3</v>
      </c>
      <c r="H59">
        <v>194</v>
      </c>
      <c r="I59">
        <v>0.5</v>
      </c>
    </row>
    <row r="60" spans="1:9" x14ac:dyDescent="0.45">
      <c r="A60">
        <v>59</v>
      </c>
      <c r="B60" t="s">
        <v>65</v>
      </c>
      <c r="C60">
        <v>10.8</v>
      </c>
      <c r="D60">
        <v>5.9</v>
      </c>
      <c r="E60">
        <v>5.9</v>
      </c>
      <c r="F60">
        <v>16.899999999999999</v>
      </c>
      <c r="G60">
        <v>17.100000000000001</v>
      </c>
      <c r="H60">
        <v>109.3</v>
      </c>
      <c r="I60">
        <v>0.9</v>
      </c>
    </row>
    <row r="61" spans="1:9" x14ac:dyDescent="0.45">
      <c r="A61">
        <v>60</v>
      </c>
      <c r="B61" t="s">
        <v>34</v>
      </c>
      <c r="C61">
        <v>10.8</v>
      </c>
      <c r="D61">
        <v>4.4000000000000004</v>
      </c>
      <c r="E61">
        <v>5.3</v>
      </c>
      <c r="F61">
        <v>22.7</v>
      </c>
      <c r="G61">
        <v>18.7</v>
      </c>
      <c r="H61">
        <v>87.7</v>
      </c>
      <c r="I61">
        <v>1.1000000000000001</v>
      </c>
    </row>
    <row r="62" spans="1:9" x14ac:dyDescent="0.45">
      <c r="A62">
        <v>61</v>
      </c>
      <c r="B62" t="s">
        <v>73</v>
      </c>
      <c r="C62">
        <v>10.8</v>
      </c>
      <c r="D62">
        <v>11.6</v>
      </c>
      <c r="E62">
        <v>7</v>
      </c>
      <c r="F62">
        <v>8.6999999999999993</v>
      </c>
      <c r="G62">
        <v>14.3</v>
      </c>
      <c r="H62">
        <v>88.8</v>
      </c>
      <c r="I62">
        <v>1.1000000000000001</v>
      </c>
    </row>
    <row r="63" spans="1:9" x14ac:dyDescent="0.45">
      <c r="A63">
        <v>62</v>
      </c>
      <c r="B63" t="s">
        <v>121</v>
      </c>
      <c r="C63">
        <v>10.7</v>
      </c>
      <c r="D63">
        <v>10.7</v>
      </c>
      <c r="E63">
        <v>3.4</v>
      </c>
      <c r="F63">
        <v>9.3000000000000007</v>
      </c>
      <c r="G63">
        <v>29.2</v>
      </c>
      <c r="H63">
        <v>205.2</v>
      </c>
      <c r="I63">
        <v>0.5</v>
      </c>
    </row>
    <row r="64" spans="1:9" x14ac:dyDescent="0.45">
      <c r="A64">
        <v>63</v>
      </c>
      <c r="B64" t="s">
        <v>46</v>
      </c>
      <c r="C64">
        <v>10.7</v>
      </c>
      <c r="D64">
        <v>3.4</v>
      </c>
      <c r="E64">
        <v>3.8</v>
      </c>
      <c r="F64">
        <v>29.8</v>
      </c>
      <c r="G64">
        <v>26.1</v>
      </c>
      <c r="H64">
        <v>68.900000000000006</v>
      </c>
      <c r="I64">
        <v>1.5</v>
      </c>
    </row>
    <row r="65" spans="1:9" x14ac:dyDescent="0.45">
      <c r="A65">
        <v>64</v>
      </c>
      <c r="B65" t="s">
        <v>105</v>
      </c>
      <c r="C65">
        <v>10.6</v>
      </c>
      <c r="D65">
        <v>3</v>
      </c>
      <c r="E65">
        <v>3.2</v>
      </c>
      <c r="F65">
        <v>33.200000000000003</v>
      </c>
      <c r="G65">
        <v>30.8</v>
      </c>
      <c r="H65">
        <v>84.1</v>
      </c>
      <c r="I65">
        <v>1.2</v>
      </c>
    </row>
    <row r="66" spans="1:9" x14ac:dyDescent="0.45">
      <c r="A66">
        <v>65</v>
      </c>
      <c r="B66" t="s">
        <v>55</v>
      </c>
      <c r="C66">
        <v>10.6</v>
      </c>
      <c r="D66">
        <v>3.6</v>
      </c>
      <c r="E66">
        <v>3.8</v>
      </c>
      <c r="F66">
        <v>27.6</v>
      </c>
      <c r="G66">
        <v>26.4</v>
      </c>
      <c r="H66">
        <v>79.599999999999994</v>
      </c>
      <c r="I66">
        <v>1.3</v>
      </c>
    </row>
    <row r="67" spans="1:9" x14ac:dyDescent="0.45">
      <c r="A67">
        <v>66</v>
      </c>
      <c r="B67" t="s">
        <v>49</v>
      </c>
      <c r="C67">
        <v>10.6</v>
      </c>
      <c r="D67">
        <v>4</v>
      </c>
      <c r="E67">
        <v>4.7</v>
      </c>
      <c r="F67">
        <v>25.2</v>
      </c>
      <c r="G67">
        <v>21.1</v>
      </c>
      <c r="H67">
        <v>71.400000000000006</v>
      </c>
      <c r="I67">
        <v>1.4</v>
      </c>
    </row>
    <row r="68" spans="1:9" x14ac:dyDescent="0.45">
      <c r="A68">
        <v>67</v>
      </c>
      <c r="B68" t="s">
        <v>74</v>
      </c>
      <c r="C68">
        <v>10.6</v>
      </c>
      <c r="D68">
        <v>4.4000000000000004</v>
      </c>
      <c r="E68">
        <v>4.5999999999999996</v>
      </c>
      <c r="F68">
        <v>22.6</v>
      </c>
      <c r="G68">
        <v>21.5</v>
      </c>
      <c r="H68">
        <v>83.1</v>
      </c>
      <c r="I68">
        <v>1.2</v>
      </c>
    </row>
    <row r="69" spans="1:9" x14ac:dyDescent="0.45">
      <c r="A69">
        <v>68</v>
      </c>
      <c r="B69" t="s">
        <v>67</v>
      </c>
      <c r="C69">
        <v>10.3</v>
      </c>
      <c r="D69">
        <v>6.2</v>
      </c>
      <c r="E69">
        <v>5.4</v>
      </c>
      <c r="F69">
        <v>16.3</v>
      </c>
      <c r="G69">
        <v>18.5</v>
      </c>
      <c r="H69">
        <v>94.5</v>
      </c>
      <c r="I69">
        <v>1.1000000000000001</v>
      </c>
    </row>
    <row r="70" spans="1:9" x14ac:dyDescent="0.45">
      <c r="A70">
        <v>69</v>
      </c>
      <c r="B70" t="s">
        <v>76</v>
      </c>
      <c r="C70">
        <v>10.1</v>
      </c>
      <c r="D70">
        <v>3.3</v>
      </c>
      <c r="E70">
        <v>3.9</v>
      </c>
      <c r="F70">
        <v>30.3</v>
      </c>
      <c r="G70">
        <v>25.6</v>
      </c>
      <c r="H70">
        <v>124.4</v>
      </c>
      <c r="I70">
        <v>0.8</v>
      </c>
    </row>
    <row r="71" spans="1:9" x14ac:dyDescent="0.45">
      <c r="A71">
        <v>70</v>
      </c>
      <c r="B71" t="s">
        <v>122</v>
      </c>
      <c r="C71">
        <v>10</v>
      </c>
      <c r="D71">
        <v>18.399999999999999</v>
      </c>
      <c r="E71">
        <v>3.4</v>
      </c>
      <c r="F71">
        <v>5.4</v>
      </c>
      <c r="G71">
        <v>29.4</v>
      </c>
      <c r="H71">
        <v>95.5</v>
      </c>
      <c r="I71">
        <v>1</v>
      </c>
    </row>
    <row r="72" spans="1:9" x14ac:dyDescent="0.45">
      <c r="A72">
        <v>71</v>
      </c>
      <c r="B72" t="s">
        <v>123</v>
      </c>
      <c r="C72">
        <v>10</v>
      </c>
      <c r="D72">
        <v>8.1999999999999993</v>
      </c>
      <c r="E72">
        <v>7.8</v>
      </c>
      <c r="F72">
        <v>12.1</v>
      </c>
      <c r="G72">
        <v>12.8</v>
      </c>
      <c r="H72">
        <v>153.6</v>
      </c>
      <c r="I72">
        <v>0.7</v>
      </c>
    </row>
    <row r="73" spans="1:9" x14ac:dyDescent="0.45">
      <c r="A73">
        <v>72</v>
      </c>
      <c r="B73" t="s">
        <v>80</v>
      </c>
      <c r="C73">
        <v>9.6999999999999993</v>
      </c>
      <c r="D73">
        <v>3.2</v>
      </c>
      <c r="E73">
        <v>3.9</v>
      </c>
      <c r="F73">
        <v>31.4</v>
      </c>
      <c r="G73">
        <v>25.5</v>
      </c>
      <c r="H73">
        <v>66.7</v>
      </c>
      <c r="I73">
        <v>1.5</v>
      </c>
    </row>
    <row r="74" spans="1:9" x14ac:dyDescent="0.45">
      <c r="A74">
        <v>73</v>
      </c>
      <c r="B74" t="s">
        <v>57</v>
      </c>
      <c r="C74">
        <v>9.6999999999999993</v>
      </c>
      <c r="D74">
        <v>3.6</v>
      </c>
      <c r="E74">
        <v>3.5</v>
      </c>
      <c r="F74">
        <v>28</v>
      </c>
      <c r="G74">
        <v>28.2</v>
      </c>
      <c r="H74">
        <v>75.3</v>
      </c>
      <c r="I74">
        <v>1.3</v>
      </c>
    </row>
    <row r="75" spans="1:9" x14ac:dyDescent="0.45">
      <c r="A75">
        <v>74</v>
      </c>
      <c r="B75" t="s">
        <v>70</v>
      </c>
      <c r="C75">
        <v>9.6</v>
      </c>
      <c r="D75">
        <v>2.9</v>
      </c>
      <c r="E75">
        <v>3.7</v>
      </c>
      <c r="F75">
        <v>33.9</v>
      </c>
      <c r="G75">
        <v>27.3</v>
      </c>
      <c r="H75">
        <v>64.3</v>
      </c>
      <c r="I75">
        <v>1.6</v>
      </c>
    </row>
    <row r="76" spans="1:9" x14ac:dyDescent="0.45">
      <c r="A76">
        <v>75</v>
      </c>
      <c r="B76" t="s">
        <v>90</v>
      </c>
      <c r="C76">
        <v>9.6</v>
      </c>
      <c r="D76">
        <v>3.9</v>
      </c>
      <c r="E76">
        <v>4.5</v>
      </c>
      <c r="F76">
        <v>25.3</v>
      </c>
      <c r="G76">
        <v>22.3</v>
      </c>
      <c r="H76">
        <v>66.400000000000006</v>
      </c>
      <c r="I76">
        <v>1.5</v>
      </c>
    </row>
    <row r="77" spans="1:9" x14ac:dyDescent="0.45">
      <c r="A77">
        <v>76</v>
      </c>
      <c r="B77" t="s">
        <v>84</v>
      </c>
      <c r="C77">
        <v>9.4</v>
      </c>
      <c r="D77">
        <v>5.5</v>
      </c>
      <c r="E77">
        <v>6</v>
      </c>
      <c r="F77">
        <v>18.100000000000001</v>
      </c>
      <c r="G77">
        <v>16.7</v>
      </c>
      <c r="H77">
        <v>93</v>
      </c>
      <c r="I77">
        <v>1.1000000000000001</v>
      </c>
    </row>
    <row r="78" spans="1:9" x14ac:dyDescent="0.45">
      <c r="A78">
        <v>77</v>
      </c>
      <c r="B78" t="s">
        <v>124</v>
      </c>
      <c r="C78">
        <v>9.3000000000000007</v>
      </c>
      <c r="D78">
        <v>7.2</v>
      </c>
      <c r="E78">
        <v>7.5</v>
      </c>
      <c r="F78">
        <v>14</v>
      </c>
      <c r="G78">
        <v>13.2</v>
      </c>
      <c r="H78">
        <v>101.7</v>
      </c>
      <c r="I78">
        <v>1</v>
      </c>
    </row>
    <row r="79" spans="1:9" x14ac:dyDescent="0.45">
      <c r="A79">
        <v>78</v>
      </c>
      <c r="B79" t="s">
        <v>96</v>
      </c>
      <c r="C79">
        <v>9.1999999999999993</v>
      </c>
      <c r="D79">
        <v>2.8</v>
      </c>
      <c r="E79">
        <v>3.2</v>
      </c>
      <c r="F79">
        <v>35.5</v>
      </c>
      <c r="G79">
        <v>31.5</v>
      </c>
      <c r="H79">
        <v>61.9</v>
      </c>
      <c r="I79">
        <v>1.6</v>
      </c>
    </row>
    <row r="80" spans="1:9" x14ac:dyDescent="0.45">
      <c r="A80">
        <v>79</v>
      </c>
      <c r="B80" t="s">
        <v>66</v>
      </c>
      <c r="C80">
        <v>9.1999999999999993</v>
      </c>
      <c r="D80">
        <v>3.6</v>
      </c>
      <c r="E80">
        <v>3.3</v>
      </c>
      <c r="F80">
        <v>27.9</v>
      </c>
      <c r="G80">
        <v>30.1</v>
      </c>
      <c r="H80">
        <v>55.8</v>
      </c>
      <c r="I80">
        <v>1.8</v>
      </c>
    </row>
    <row r="81" spans="1:9" x14ac:dyDescent="0.45">
      <c r="A81">
        <v>80</v>
      </c>
      <c r="B81" t="s">
        <v>91</v>
      </c>
      <c r="C81">
        <v>8.9</v>
      </c>
      <c r="D81">
        <v>8.4</v>
      </c>
      <c r="E81">
        <v>9.6999999999999993</v>
      </c>
      <c r="F81">
        <v>11.9</v>
      </c>
      <c r="G81">
        <v>10.3</v>
      </c>
      <c r="H81">
        <v>93.2</v>
      </c>
      <c r="I81">
        <v>1.1000000000000001</v>
      </c>
    </row>
    <row r="82" spans="1:9" x14ac:dyDescent="0.45">
      <c r="A82">
        <v>81</v>
      </c>
      <c r="B82" t="s">
        <v>86</v>
      </c>
      <c r="C82">
        <v>8.6</v>
      </c>
      <c r="D82">
        <v>4.0999999999999996</v>
      </c>
      <c r="E82">
        <v>4.5999999999999996</v>
      </c>
      <c r="F82">
        <v>24.3</v>
      </c>
      <c r="G82">
        <v>21.8</v>
      </c>
      <c r="H82">
        <v>63.4</v>
      </c>
      <c r="I82">
        <v>1.6</v>
      </c>
    </row>
    <row r="83" spans="1:9" x14ac:dyDescent="0.45">
      <c r="A83">
        <v>82</v>
      </c>
      <c r="B83" t="s">
        <v>56</v>
      </c>
      <c r="C83">
        <v>8.6</v>
      </c>
      <c r="D83">
        <v>4.7</v>
      </c>
      <c r="E83">
        <v>5.0999999999999996</v>
      </c>
      <c r="F83">
        <v>21.5</v>
      </c>
      <c r="G83">
        <v>19.600000000000001</v>
      </c>
      <c r="H83">
        <v>84</v>
      </c>
      <c r="I83">
        <v>1.2</v>
      </c>
    </row>
    <row r="84" spans="1:9" x14ac:dyDescent="0.45">
      <c r="A84">
        <v>83</v>
      </c>
      <c r="B84" t="s">
        <v>101</v>
      </c>
      <c r="C84">
        <v>8.6</v>
      </c>
      <c r="D84">
        <v>6.9</v>
      </c>
      <c r="E84">
        <v>7.4</v>
      </c>
      <c r="F84">
        <v>14.5</v>
      </c>
      <c r="G84">
        <v>13.5</v>
      </c>
      <c r="H84">
        <v>87.5</v>
      </c>
      <c r="I84">
        <v>1.1000000000000001</v>
      </c>
    </row>
    <row r="85" spans="1:9" x14ac:dyDescent="0.45">
      <c r="A85">
        <v>84</v>
      </c>
      <c r="B85" t="s">
        <v>44</v>
      </c>
      <c r="C85">
        <v>8.6</v>
      </c>
      <c r="D85">
        <v>6.2</v>
      </c>
      <c r="E85">
        <v>6.6</v>
      </c>
      <c r="F85">
        <v>16</v>
      </c>
      <c r="G85">
        <v>15.1</v>
      </c>
      <c r="H85">
        <v>61.1</v>
      </c>
      <c r="I85">
        <v>1.6</v>
      </c>
    </row>
    <row r="86" spans="1:9" x14ac:dyDescent="0.45">
      <c r="A86">
        <v>85</v>
      </c>
      <c r="B86" t="s">
        <v>87</v>
      </c>
      <c r="C86">
        <v>8.4</v>
      </c>
      <c r="D86">
        <v>4.5999999999999996</v>
      </c>
      <c r="E86">
        <v>4.2</v>
      </c>
      <c r="F86">
        <v>21.7</v>
      </c>
      <c r="G86">
        <v>23.6</v>
      </c>
      <c r="H86">
        <v>64.8</v>
      </c>
      <c r="I86">
        <v>1.5</v>
      </c>
    </row>
    <row r="87" spans="1:9" x14ac:dyDescent="0.45">
      <c r="A87">
        <v>86</v>
      </c>
      <c r="B87" t="s">
        <v>41</v>
      </c>
      <c r="C87">
        <v>8.3000000000000007</v>
      </c>
      <c r="D87">
        <v>5.7</v>
      </c>
      <c r="E87">
        <v>6.4</v>
      </c>
      <c r="F87">
        <v>17.600000000000001</v>
      </c>
      <c r="G87">
        <v>15.6</v>
      </c>
      <c r="H87">
        <v>61.9</v>
      </c>
      <c r="I87">
        <v>1.6</v>
      </c>
    </row>
    <row r="88" spans="1:9" x14ac:dyDescent="0.45">
      <c r="A88">
        <v>87</v>
      </c>
      <c r="B88" t="s">
        <v>88</v>
      </c>
      <c r="C88">
        <v>8.3000000000000007</v>
      </c>
      <c r="D88">
        <v>5.3</v>
      </c>
      <c r="E88">
        <v>4.8</v>
      </c>
      <c r="F88">
        <v>19</v>
      </c>
      <c r="G88">
        <v>20.8</v>
      </c>
      <c r="H88">
        <v>50.4</v>
      </c>
      <c r="I88">
        <v>2</v>
      </c>
    </row>
    <row r="89" spans="1:9" x14ac:dyDescent="0.45">
      <c r="A89">
        <v>88</v>
      </c>
      <c r="B89" t="s">
        <v>125</v>
      </c>
      <c r="C89">
        <v>7.9</v>
      </c>
      <c r="D89">
        <v>9.3000000000000007</v>
      </c>
      <c r="E89">
        <v>10.8</v>
      </c>
      <c r="F89">
        <v>10.7</v>
      </c>
      <c r="G89">
        <v>9.1999999999999993</v>
      </c>
      <c r="H89">
        <v>69.400000000000006</v>
      </c>
      <c r="I89">
        <v>1.4</v>
      </c>
    </row>
    <row r="90" spans="1:9" x14ac:dyDescent="0.45">
      <c r="A90">
        <v>89</v>
      </c>
      <c r="B90" t="s">
        <v>92</v>
      </c>
      <c r="C90">
        <v>7.7</v>
      </c>
      <c r="D90">
        <v>4.5999999999999996</v>
      </c>
      <c r="E90">
        <v>4.9000000000000004</v>
      </c>
      <c r="F90">
        <v>21.6</v>
      </c>
      <c r="G90">
        <v>20.5</v>
      </c>
      <c r="H90">
        <v>54.7</v>
      </c>
      <c r="I90">
        <v>1.8</v>
      </c>
    </row>
    <row r="91" spans="1:9" x14ac:dyDescent="0.45">
      <c r="A91">
        <v>90</v>
      </c>
      <c r="B91" t="s">
        <v>93</v>
      </c>
      <c r="C91">
        <v>7.4</v>
      </c>
      <c r="D91">
        <v>4.3</v>
      </c>
      <c r="E91">
        <v>4.3</v>
      </c>
      <c r="F91">
        <v>23.4</v>
      </c>
      <c r="G91">
        <v>23.4</v>
      </c>
      <c r="H91">
        <v>64</v>
      </c>
      <c r="I91">
        <v>1.6</v>
      </c>
    </row>
    <row r="92" spans="1:9" x14ac:dyDescent="0.45">
      <c r="A92">
        <v>91</v>
      </c>
      <c r="B92" t="s">
        <v>75</v>
      </c>
      <c r="C92">
        <v>7.3</v>
      </c>
      <c r="D92">
        <v>3.5</v>
      </c>
      <c r="E92">
        <v>3.6</v>
      </c>
      <c r="F92">
        <v>28.8</v>
      </c>
      <c r="G92">
        <v>28.1</v>
      </c>
      <c r="H92">
        <v>44</v>
      </c>
      <c r="I92">
        <v>2.2999999999999998</v>
      </c>
    </row>
    <row r="93" spans="1:9" x14ac:dyDescent="0.45">
      <c r="A93">
        <v>92</v>
      </c>
      <c r="B93" t="s">
        <v>72</v>
      </c>
      <c r="C93">
        <v>7.2</v>
      </c>
      <c r="D93">
        <v>4.7</v>
      </c>
      <c r="E93">
        <v>5.2</v>
      </c>
      <c r="F93">
        <v>21.1</v>
      </c>
      <c r="G93">
        <v>19.399999999999999</v>
      </c>
      <c r="H93">
        <v>49.8</v>
      </c>
      <c r="I93">
        <v>2</v>
      </c>
    </row>
    <row r="94" spans="1:9" x14ac:dyDescent="0.45">
      <c r="A94">
        <v>93</v>
      </c>
      <c r="B94" t="s">
        <v>94</v>
      </c>
      <c r="C94">
        <v>7.1</v>
      </c>
      <c r="D94">
        <v>5</v>
      </c>
      <c r="E94">
        <v>5.4</v>
      </c>
      <c r="F94">
        <v>19.899999999999999</v>
      </c>
      <c r="G94">
        <v>18.5</v>
      </c>
      <c r="H94">
        <v>59.3</v>
      </c>
      <c r="I94">
        <v>1.7</v>
      </c>
    </row>
    <row r="95" spans="1:9" x14ac:dyDescent="0.45">
      <c r="A95">
        <v>94</v>
      </c>
      <c r="B95" t="s">
        <v>95</v>
      </c>
      <c r="C95">
        <v>7</v>
      </c>
      <c r="D95">
        <v>3.9</v>
      </c>
      <c r="E95">
        <v>5</v>
      </c>
      <c r="F95">
        <v>25.9</v>
      </c>
      <c r="G95">
        <v>20</v>
      </c>
      <c r="H95">
        <v>43.5</v>
      </c>
      <c r="I95">
        <v>2.2999999999999998</v>
      </c>
    </row>
    <row r="96" spans="1:9" x14ac:dyDescent="0.45">
      <c r="A96">
        <v>95</v>
      </c>
      <c r="B96" t="s">
        <v>77</v>
      </c>
      <c r="C96">
        <v>6.7</v>
      </c>
      <c r="D96">
        <v>5.9</v>
      </c>
      <c r="E96">
        <v>7.1</v>
      </c>
      <c r="F96">
        <v>16.899999999999999</v>
      </c>
      <c r="G96">
        <v>14.1</v>
      </c>
      <c r="H96">
        <v>86.8</v>
      </c>
      <c r="I96">
        <v>1.2</v>
      </c>
    </row>
    <row r="97" spans="1:9" x14ac:dyDescent="0.45">
      <c r="A97">
        <v>96</v>
      </c>
      <c r="B97" t="s">
        <v>85</v>
      </c>
      <c r="C97">
        <v>6.6</v>
      </c>
      <c r="D97">
        <v>4</v>
      </c>
      <c r="E97">
        <v>4.5</v>
      </c>
      <c r="F97">
        <v>24.9</v>
      </c>
      <c r="G97">
        <v>22.4</v>
      </c>
      <c r="H97">
        <v>44.3</v>
      </c>
      <c r="I97">
        <v>2.2999999999999998</v>
      </c>
    </row>
    <row r="98" spans="1:9" x14ac:dyDescent="0.45">
      <c r="A98">
        <v>97</v>
      </c>
      <c r="B98" t="s">
        <v>107</v>
      </c>
      <c r="C98">
        <v>6.6</v>
      </c>
      <c r="D98">
        <v>8.8000000000000007</v>
      </c>
      <c r="E98">
        <v>7.5</v>
      </c>
      <c r="F98">
        <v>11.4</v>
      </c>
      <c r="G98">
        <v>13.4</v>
      </c>
      <c r="H98">
        <v>51.7</v>
      </c>
      <c r="I98">
        <v>1.9</v>
      </c>
    </row>
    <row r="99" spans="1:9" x14ac:dyDescent="0.45">
      <c r="A99">
        <v>98</v>
      </c>
      <c r="B99" t="s">
        <v>102</v>
      </c>
      <c r="C99">
        <v>6.5</v>
      </c>
      <c r="D99">
        <v>5.4</v>
      </c>
      <c r="E99">
        <v>6</v>
      </c>
      <c r="F99">
        <v>18.399999999999999</v>
      </c>
      <c r="G99">
        <v>16.7</v>
      </c>
      <c r="H99">
        <v>45.9</v>
      </c>
      <c r="I99">
        <v>2.2000000000000002</v>
      </c>
    </row>
    <row r="100" spans="1:9" x14ac:dyDescent="0.45">
      <c r="A100">
        <v>99</v>
      </c>
      <c r="B100" t="s">
        <v>69</v>
      </c>
      <c r="C100">
        <v>6.3</v>
      </c>
      <c r="D100">
        <v>7.4</v>
      </c>
      <c r="E100">
        <v>6.2</v>
      </c>
      <c r="F100">
        <v>13.5</v>
      </c>
      <c r="G100">
        <v>16.2</v>
      </c>
      <c r="H100">
        <v>77.3</v>
      </c>
      <c r="I100">
        <v>1.3</v>
      </c>
    </row>
    <row r="101" spans="1:9" x14ac:dyDescent="0.45">
      <c r="A101">
        <v>100</v>
      </c>
      <c r="B101" t="s">
        <v>97</v>
      </c>
      <c r="C101">
        <v>6.2</v>
      </c>
      <c r="D101">
        <v>5.6</v>
      </c>
      <c r="E101">
        <v>5.6</v>
      </c>
      <c r="F101">
        <v>17.8</v>
      </c>
      <c r="G101">
        <v>17.8</v>
      </c>
      <c r="H101">
        <v>46.1</v>
      </c>
      <c r="I101">
        <v>2.2000000000000002</v>
      </c>
    </row>
    <row r="102" spans="1:9" x14ac:dyDescent="0.45">
      <c r="A102">
        <v>101</v>
      </c>
      <c r="B102" t="s">
        <v>100</v>
      </c>
      <c r="C102">
        <v>6.2</v>
      </c>
      <c r="D102">
        <v>8.8000000000000007</v>
      </c>
      <c r="E102">
        <v>9.6999999999999993</v>
      </c>
      <c r="F102">
        <v>11.4</v>
      </c>
      <c r="G102">
        <v>10.3</v>
      </c>
      <c r="H102">
        <v>49.9</v>
      </c>
      <c r="I102">
        <v>2</v>
      </c>
    </row>
    <row r="103" spans="1:9" x14ac:dyDescent="0.45">
      <c r="A103">
        <v>102</v>
      </c>
      <c r="B103" t="s">
        <v>99</v>
      </c>
      <c r="C103">
        <v>6.1</v>
      </c>
      <c r="D103">
        <v>7.4</v>
      </c>
      <c r="E103">
        <v>6.2</v>
      </c>
      <c r="F103">
        <v>13.5</v>
      </c>
      <c r="G103">
        <v>16.2</v>
      </c>
      <c r="H103">
        <v>54.7</v>
      </c>
      <c r="I103">
        <v>1.8</v>
      </c>
    </row>
    <row r="104" spans="1:9" x14ac:dyDescent="0.45">
      <c r="A104">
        <v>103</v>
      </c>
      <c r="B104" t="s">
        <v>103</v>
      </c>
      <c r="C104">
        <v>6.1</v>
      </c>
      <c r="D104">
        <v>5.8</v>
      </c>
      <c r="E104">
        <v>6.4</v>
      </c>
      <c r="F104">
        <v>17.3</v>
      </c>
      <c r="G104">
        <v>15.6</v>
      </c>
      <c r="H104">
        <v>45</v>
      </c>
      <c r="I104">
        <v>2.2000000000000002</v>
      </c>
    </row>
    <row r="105" spans="1:9" x14ac:dyDescent="0.45">
      <c r="A105">
        <v>104</v>
      </c>
      <c r="B105" t="s">
        <v>98</v>
      </c>
      <c r="C105">
        <v>5.8</v>
      </c>
      <c r="D105">
        <v>6</v>
      </c>
      <c r="E105">
        <v>7</v>
      </c>
      <c r="F105">
        <v>16.600000000000001</v>
      </c>
      <c r="G105">
        <v>14.3</v>
      </c>
      <c r="H105">
        <v>49.1</v>
      </c>
      <c r="I105">
        <v>2</v>
      </c>
    </row>
    <row r="106" spans="1:9" x14ac:dyDescent="0.45">
      <c r="A106">
        <v>105</v>
      </c>
      <c r="B106" t="s">
        <v>79</v>
      </c>
      <c r="C106">
        <v>5.7</v>
      </c>
      <c r="D106">
        <v>10.199999999999999</v>
      </c>
      <c r="E106">
        <v>9.3000000000000007</v>
      </c>
      <c r="F106">
        <v>9.8000000000000007</v>
      </c>
      <c r="G106">
        <v>10.7</v>
      </c>
      <c r="H106">
        <v>84.3</v>
      </c>
      <c r="I106">
        <v>1.2</v>
      </c>
    </row>
    <row r="107" spans="1:9" x14ac:dyDescent="0.45">
      <c r="A107">
        <v>106</v>
      </c>
      <c r="B107" t="s">
        <v>104</v>
      </c>
      <c r="C107">
        <v>5.6</v>
      </c>
      <c r="D107">
        <v>8.1</v>
      </c>
      <c r="E107">
        <v>8.1</v>
      </c>
      <c r="F107">
        <v>12.4</v>
      </c>
      <c r="G107">
        <v>12.4</v>
      </c>
      <c r="H107">
        <v>52.7</v>
      </c>
      <c r="I107">
        <v>1.9</v>
      </c>
    </row>
    <row r="108" spans="1:9" x14ac:dyDescent="0.45">
      <c r="A108">
        <v>107</v>
      </c>
      <c r="B108" t="s">
        <v>81</v>
      </c>
      <c r="C108">
        <v>5.5</v>
      </c>
      <c r="D108">
        <v>5.9</v>
      </c>
      <c r="E108">
        <v>6.4</v>
      </c>
      <c r="F108">
        <v>17.100000000000001</v>
      </c>
      <c r="G108">
        <v>15.6</v>
      </c>
      <c r="H108">
        <v>37.9</v>
      </c>
      <c r="I108">
        <v>2.6</v>
      </c>
    </row>
    <row r="109" spans="1:9" x14ac:dyDescent="0.45">
      <c r="A109">
        <v>108</v>
      </c>
      <c r="B109" t="s">
        <v>126</v>
      </c>
      <c r="C109">
        <v>5.4</v>
      </c>
      <c r="D109">
        <v>9.3000000000000007</v>
      </c>
      <c r="E109">
        <v>30.2</v>
      </c>
      <c r="F109">
        <v>10.8</v>
      </c>
      <c r="G109">
        <v>3.3</v>
      </c>
      <c r="H109">
        <v>64</v>
      </c>
      <c r="I109">
        <v>1.6</v>
      </c>
    </row>
    <row r="110" spans="1:9" x14ac:dyDescent="0.45">
      <c r="A110">
        <v>109</v>
      </c>
      <c r="B110" t="s">
        <v>127</v>
      </c>
      <c r="C110">
        <v>5.0999999999999996</v>
      </c>
      <c r="D110">
        <v>15.1</v>
      </c>
      <c r="E110">
        <v>13.2</v>
      </c>
      <c r="F110">
        <v>6.6</v>
      </c>
      <c r="G110">
        <v>7.6</v>
      </c>
      <c r="H110">
        <v>51</v>
      </c>
      <c r="I110">
        <v>2</v>
      </c>
    </row>
    <row r="111" spans="1:9" x14ac:dyDescent="0.45">
      <c r="A111">
        <v>110</v>
      </c>
      <c r="B111" t="s">
        <v>106</v>
      </c>
      <c r="C111">
        <v>5</v>
      </c>
      <c r="D111">
        <v>5.7</v>
      </c>
      <c r="E111">
        <v>5.7</v>
      </c>
      <c r="F111">
        <v>17.399999999999999</v>
      </c>
      <c r="G111">
        <v>17.5</v>
      </c>
      <c r="H111">
        <v>34.299999999999997</v>
      </c>
      <c r="I111">
        <v>2.9</v>
      </c>
    </row>
    <row r="112" spans="1:9" x14ac:dyDescent="0.45">
      <c r="A112">
        <v>111</v>
      </c>
      <c r="B112" t="s">
        <v>128</v>
      </c>
      <c r="C112">
        <v>4.9000000000000004</v>
      </c>
      <c r="D112">
        <v>19.899999999999999</v>
      </c>
      <c r="E112">
        <v>24.6</v>
      </c>
      <c r="F112">
        <v>5</v>
      </c>
      <c r="G112">
        <v>4.0999999999999996</v>
      </c>
      <c r="H112">
        <v>102.3</v>
      </c>
      <c r="I112">
        <v>1</v>
      </c>
    </row>
    <row r="113" spans="1:9" x14ac:dyDescent="0.45">
      <c r="A113">
        <v>112</v>
      </c>
      <c r="B113" t="s">
        <v>108</v>
      </c>
      <c r="C113">
        <v>4.5</v>
      </c>
      <c r="D113">
        <v>5.7</v>
      </c>
      <c r="E113">
        <v>6.3</v>
      </c>
      <c r="F113">
        <v>17.399999999999999</v>
      </c>
      <c r="G113">
        <v>16</v>
      </c>
      <c r="H113">
        <v>36</v>
      </c>
      <c r="I113">
        <v>2.8</v>
      </c>
    </row>
    <row r="114" spans="1:9" x14ac:dyDescent="0.45">
      <c r="A114">
        <v>113</v>
      </c>
      <c r="B114" t="s">
        <v>129</v>
      </c>
      <c r="C114">
        <v>4.3</v>
      </c>
      <c r="D114">
        <v>13.4</v>
      </c>
      <c r="E114">
        <v>9.1999999999999993</v>
      </c>
      <c r="F114">
        <v>7.5</v>
      </c>
      <c r="G114">
        <v>10.8</v>
      </c>
      <c r="H114">
        <v>55.2</v>
      </c>
      <c r="I114">
        <v>1.8</v>
      </c>
    </row>
    <row r="115" spans="1:9" x14ac:dyDescent="0.45">
      <c r="A115">
        <v>114</v>
      </c>
      <c r="B115" t="s">
        <v>130</v>
      </c>
      <c r="C115">
        <v>3.9</v>
      </c>
      <c r="D115">
        <v>7.3</v>
      </c>
      <c r="E115">
        <v>8.5</v>
      </c>
      <c r="F115">
        <v>13.7</v>
      </c>
      <c r="G115">
        <v>11.8</v>
      </c>
      <c r="H115">
        <v>39.4</v>
      </c>
      <c r="I115">
        <v>2.5</v>
      </c>
    </row>
    <row r="116" spans="1:9" x14ac:dyDescent="0.45">
      <c r="A116">
        <v>115</v>
      </c>
      <c r="B116" t="s">
        <v>131</v>
      </c>
      <c r="C116">
        <v>3.7</v>
      </c>
      <c r="D116">
        <v>4</v>
      </c>
      <c r="E116">
        <v>3.5</v>
      </c>
      <c r="F116">
        <v>25</v>
      </c>
      <c r="G116">
        <v>28.9</v>
      </c>
      <c r="H116">
        <v>38.9</v>
      </c>
      <c r="I116">
        <v>2.6</v>
      </c>
    </row>
    <row r="117" spans="1:9" x14ac:dyDescent="0.45">
      <c r="A117">
        <v>116</v>
      </c>
      <c r="B117" t="s">
        <v>132</v>
      </c>
      <c r="C117">
        <v>3.5</v>
      </c>
      <c r="D117">
        <v>7.1</v>
      </c>
      <c r="E117">
        <v>11.5</v>
      </c>
      <c r="F117">
        <v>14.1</v>
      </c>
      <c r="G117">
        <v>8.6999999999999993</v>
      </c>
      <c r="H117">
        <v>49</v>
      </c>
      <c r="I117">
        <v>2</v>
      </c>
    </row>
    <row r="118" spans="1:9" x14ac:dyDescent="0.45">
      <c r="A118">
        <v>117</v>
      </c>
      <c r="B118" t="s">
        <v>111</v>
      </c>
      <c r="C118">
        <v>3.2</v>
      </c>
      <c r="D118">
        <v>11.4</v>
      </c>
      <c r="E118">
        <v>12.6</v>
      </c>
      <c r="F118">
        <v>8.8000000000000007</v>
      </c>
      <c r="G118">
        <v>7.9</v>
      </c>
      <c r="H118">
        <v>30.3</v>
      </c>
      <c r="I118">
        <v>3.3</v>
      </c>
    </row>
    <row r="119" spans="1:9" x14ac:dyDescent="0.45">
      <c r="A119">
        <v>118</v>
      </c>
      <c r="B119" t="s">
        <v>110</v>
      </c>
      <c r="C119">
        <v>3.1</v>
      </c>
      <c r="D119">
        <v>10.199999999999999</v>
      </c>
      <c r="E119">
        <v>9.4</v>
      </c>
      <c r="F119">
        <v>9.8000000000000007</v>
      </c>
      <c r="G119">
        <v>10.6</v>
      </c>
      <c r="H119">
        <v>33.6</v>
      </c>
      <c r="I119">
        <v>3</v>
      </c>
    </row>
    <row r="120" spans="1:9" x14ac:dyDescent="0.45">
      <c r="A120">
        <v>119</v>
      </c>
      <c r="B120" t="s">
        <v>112</v>
      </c>
      <c r="C120">
        <v>3.1</v>
      </c>
      <c r="D120">
        <v>7.2</v>
      </c>
      <c r="E120">
        <v>6.9</v>
      </c>
      <c r="F120">
        <v>13.9</v>
      </c>
      <c r="G120">
        <v>14.6</v>
      </c>
      <c r="H120">
        <v>23.5</v>
      </c>
      <c r="I120">
        <v>4.2</v>
      </c>
    </row>
    <row r="121" spans="1:9" x14ac:dyDescent="0.45">
      <c r="A121">
        <v>120</v>
      </c>
      <c r="B121" t="s">
        <v>109</v>
      </c>
      <c r="C121">
        <v>2.6</v>
      </c>
      <c r="D121">
        <v>11.2</v>
      </c>
      <c r="E121">
        <v>12.9</v>
      </c>
      <c r="F121">
        <v>9</v>
      </c>
      <c r="G121">
        <v>7.7</v>
      </c>
      <c r="H121">
        <v>19.399999999999999</v>
      </c>
      <c r="I121">
        <v>5.0999999999999996</v>
      </c>
    </row>
    <row r="122" spans="1:9" x14ac:dyDescent="0.45">
      <c r="A122">
        <v>121</v>
      </c>
      <c r="B122" t="s">
        <v>133</v>
      </c>
      <c r="C122">
        <v>1.8</v>
      </c>
      <c r="D122">
        <v>80.3</v>
      </c>
      <c r="E122">
        <v>27.8</v>
      </c>
      <c r="F122">
        <v>1.2</v>
      </c>
      <c r="G122">
        <v>3.6</v>
      </c>
      <c r="H122">
        <v>27.9</v>
      </c>
      <c r="I122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7F55-8C65-4BFA-8A20-61FFBE98CEFE}">
  <sheetPr filterMode="1"/>
  <dimension ref="A1:R268"/>
  <sheetViews>
    <sheetView topLeftCell="A74" workbookViewId="0">
      <selection sqref="A1:E97"/>
    </sheetView>
  </sheetViews>
  <sheetFormatPr defaultRowHeight="14.25" x14ac:dyDescent="0.45"/>
  <cols>
    <col min="3" max="3" width="17.59765625" bestFit="1" customWidth="1"/>
  </cols>
  <sheetData>
    <row r="1" spans="1:18" x14ac:dyDescent="0.45">
      <c r="B1">
        <v>2025</v>
      </c>
      <c r="C1">
        <v>2025</v>
      </c>
      <c r="D1">
        <v>2015</v>
      </c>
      <c r="E1">
        <v>2015</v>
      </c>
    </row>
    <row r="2" spans="1:18" x14ac:dyDescent="0.45">
      <c r="A2" t="s">
        <v>1</v>
      </c>
      <c r="B2" t="s">
        <v>564</v>
      </c>
      <c r="C2" t="s">
        <v>566</v>
      </c>
      <c r="D2" t="s">
        <v>564</v>
      </c>
      <c r="E2" t="s">
        <v>566</v>
      </c>
      <c r="I2" t="s">
        <v>134</v>
      </c>
      <c r="J2" t="s">
        <v>135</v>
      </c>
      <c r="K2" t="s">
        <v>563</v>
      </c>
      <c r="M2" t="s">
        <v>134</v>
      </c>
      <c r="N2" t="s">
        <v>135</v>
      </c>
      <c r="O2" t="s">
        <v>565</v>
      </c>
    </row>
    <row r="3" spans="1:18" x14ac:dyDescent="0.45">
      <c r="A3" t="s">
        <v>36</v>
      </c>
      <c r="B3">
        <f>VLOOKUP(A3,$I$3:$K$268,3,FALSE)</f>
        <v>27146.381474728154</v>
      </c>
      <c r="C3">
        <f>VLOOKUP(A3,'2025'!$B$2:$H$105,7,FALSE)/100</f>
        <v>1.278</v>
      </c>
      <c r="D3">
        <f>VLOOKUP(A3,$M$3:$O$268,3,FALSE)</f>
        <v>11571.706559893075</v>
      </c>
      <c r="E3">
        <f>VLOOKUP(A3,'2015'!$B$2:$H$122,7,FALSE)/100</f>
        <v>1.3840000000000001</v>
      </c>
      <c r="I3" t="s">
        <v>136</v>
      </c>
      <c r="J3" t="s">
        <v>137</v>
      </c>
      <c r="K3">
        <v>50649.301523221184</v>
      </c>
      <c r="M3" t="s">
        <v>136</v>
      </c>
      <c r="N3" t="s">
        <v>137</v>
      </c>
      <c r="O3">
        <v>35972.859661930415</v>
      </c>
      <c r="Q3" t="s">
        <v>49</v>
      </c>
      <c r="R3" t="s">
        <v>219</v>
      </c>
    </row>
    <row r="4" spans="1:18" x14ac:dyDescent="0.45">
      <c r="A4" t="s">
        <v>31</v>
      </c>
      <c r="B4">
        <f>VLOOKUP(A4,$I$3:$K$268,3,FALSE)</f>
        <v>17620.742395612582</v>
      </c>
      <c r="C4">
        <f>VLOOKUP(A4,'2025'!$B$2:$H$105,7,FALSE)/100</f>
        <v>1.476</v>
      </c>
      <c r="D4">
        <f t="shared" ref="D4:D67" si="0">VLOOKUP(A4,$M$3:$O$268,3,FALSE)</f>
        <v>13807.351584147766</v>
      </c>
      <c r="E4">
        <f>VLOOKUP(A4,'2015'!$B$2:$H$122,7,FALSE)/100</f>
        <v>1.615</v>
      </c>
      <c r="I4" t="s">
        <v>138</v>
      </c>
      <c r="J4" t="s">
        <v>139</v>
      </c>
      <c r="K4">
        <v>4635.7882240455028</v>
      </c>
      <c r="M4" t="s">
        <v>138</v>
      </c>
      <c r="N4" t="s">
        <v>139</v>
      </c>
      <c r="O4">
        <v>3539.8155060707791</v>
      </c>
      <c r="Q4" t="s">
        <v>27</v>
      </c>
      <c r="R4" t="s">
        <v>240</v>
      </c>
    </row>
    <row r="5" spans="1:18" x14ac:dyDescent="0.45">
      <c r="A5" t="s">
        <v>29</v>
      </c>
      <c r="B5">
        <f>VLOOKUP(A5,$I$3:$K$268,3,FALSE)</f>
        <v>30431.193122369299</v>
      </c>
      <c r="C5">
        <f>VLOOKUP(A5,'2025'!$B$2:$H$105,7,FALSE)/100</f>
        <v>13.504000000000001</v>
      </c>
      <c r="D5">
        <f t="shared" si="0"/>
        <v>19899.149927524544</v>
      </c>
      <c r="E5">
        <f>VLOOKUP(A5,'2015'!$B$2:$H$122,7,FALSE)/100</f>
        <v>2.3169999999999997</v>
      </c>
      <c r="I5" t="s">
        <v>140</v>
      </c>
      <c r="J5" t="s">
        <v>141</v>
      </c>
      <c r="M5" t="s">
        <v>140</v>
      </c>
      <c r="N5" t="s">
        <v>141</v>
      </c>
      <c r="O5">
        <v>2284.0758478934936</v>
      </c>
      <c r="Q5" t="s">
        <v>15</v>
      </c>
      <c r="R5" t="s">
        <v>288</v>
      </c>
    </row>
    <row r="6" spans="1:18" x14ac:dyDescent="0.45">
      <c r="A6" t="s">
        <v>24</v>
      </c>
      <c r="B6">
        <f>VLOOKUP(A6,$I$3:$K$268,3,FALSE)</f>
        <v>22823.17952556931</v>
      </c>
      <c r="C6">
        <f>VLOOKUP(A6,'2025'!$B$2:$H$105,7,FALSE)/100</f>
        <v>3.0830000000000002</v>
      </c>
      <c r="D6">
        <f t="shared" si="0"/>
        <v>9756.8408483602598</v>
      </c>
      <c r="E6">
        <f>VLOOKUP(A6,'2015'!$B$2:$H$122,7,FALSE)/100</f>
        <v>1.974</v>
      </c>
      <c r="I6" t="s">
        <v>142</v>
      </c>
      <c r="J6" t="s">
        <v>143</v>
      </c>
      <c r="K6">
        <v>6815.9909611511712</v>
      </c>
      <c r="M6" t="s">
        <v>142</v>
      </c>
      <c r="N6" t="s">
        <v>143</v>
      </c>
      <c r="O6">
        <v>5056.7394387282175</v>
      </c>
      <c r="Q6" t="s">
        <v>23</v>
      </c>
      <c r="R6" t="s">
        <v>314</v>
      </c>
    </row>
    <row r="7" spans="1:18" x14ac:dyDescent="0.45">
      <c r="A7" t="s">
        <v>94</v>
      </c>
      <c r="B7">
        <f>VLOOKUP(A7,$I$3:$K$268,3,FALSE)</f>
        <v>72111.184462812598</v>
      </c>
      <c r="C7">
        <f>VLOOKUP(A7,'2025'!$B$2:$H$105,7,FALSE)/100</f>
        <v>0.71900000000000008</v>
      </c>
      <c r="D7">
        <f t="shared" si="0"/>
        <v>46464.586762792911</v>
      </c>
      <c r="E7">
        <f>VLOOKUP(A7,'2015'!$B$2:$H$122,7,FALSE)/100</f>
        <v>0.59299999999999997</v>
      </c>
      <c r="I7" t="s">
        <v>144</v>
      </c>
      <c r="J7" t="s">
        <v>145</v>
      </c>
      <c r="K7">
        <v>10118.608994540782</v>
      </c>
      <c r="M7" t="s">
        <v>144</v>
      </c>
      <c r="N7" t="s">
        <v>145</v>
      </c>
      <c r="O7">
        <v>8067.4858468301818</v>
      </c>
      <c r="Q7" t="s">
        <v>47</v>
      </c>
    </row>
    <row r="8" spans="1:18" x14ac:dyDescent="0.45">
      <c r="A8" t="s">
        <v>70</v>
      </c>
      <c r="B8">
        <f>VLOOKUP(A8,$I$3:$K$268,3,FALSE)</f>
        <v>73911.43966313597</v>
      </c>
      <c r="C8">
        <f>VLOOKUP(A8,'2025'!$B$2:$H$105,7,FALSE)/100</f>
        <v>0.81200000000000006</v>
      </c>
      <c r="D8">
        <f t="shared" si="0"/>
        <v>49549.316231144054</v>
      </c>
      <c r="E8">
        <f>VLOOKUP(A8,'2015'!$B$2:$H$122,7,FALSE)/100</f>
        <v>0.64300000000000002</v>
      </c>
      <c r="I8" t="s">
        <v>36</v>
      </c>
      <c r="J8" t="s">
        <v>146</v>
      </c>
      <c r="K8">
        <v>27146.381474728154</v>
      </c>
      <c r="M8" t="s">
        <v>36</v>
      </c>
      <c r="N8" t="s">
        <v>146</v>
      </c>
      <c r="O8">
        <v>11571.706559893075</v>
      </c>
      <c r="Q8" t="s">
        <v>45</v>
      </c>
      <c r="R8" t="s">
        <v>325</v>
      </c>
    </row>
    <row r="9" spans="1:18" x14ac:dyDescent="0.45">
      <c r="A9" t="s">
        <v>35</v>
      </c>
      <c r="B9">
        <f>VLOOKUP(A9,$I$3:$K$268,3,FALSE)</f>
        <v>25088.999375713367</v>
      </c>
      <c r="C9">
        <f>VLOOKUP(A9,'2025'!$B$2:$H$105,7,FALSE)/100</f>
        <v>1.6780000000000002</v>
      </c>
      <c r="D9">
        <f t="shared" si="0"/>
        <v>15075.272634791074</v>
      </c>
      <c r="E9">
        <f>VLOOKUP(A9,'2015'!$B$2:$H$122,7,FALSE)/100</f>
        <v>1.857</v>
      </c>
      <c r="I9" t="s">
        <v>147</v>
      </c>
      <c r="J9" t="s">
        <v>148</v>
      </c>
      <c r="K9">
        <v>74939.474603857831</v>
      </c>
      <c r="M9" t="s">
        <v>147</v>
      </c>
      <c r="N9" t="s">
        <v>148</v>
      </c>
      <c r="O9">
        <v>50733.239001170448</v>
      </c>
      <c r="Q9" t="s">
        <v>105</v>
      </c>
    </row>
    <row r="10" spans="1:18" x14ac:dyDescent="0.45">
      <c r="A10" t="s">
        <v>61</v>
      </c>
      <c r="B10">
        <f>VLOOKUP(A10,$I$3:$K$268,3,FALSE)</f>
        <v>9646.7698438325478</v>
      </c>
      <c r="C10">
        <f>VLOOKUP(A10,'2025'!$B$2:$H$105,7,FALSE)/100</f>
        <v>1.4709999999999999</v>
      </c>
      <c r="D10">
        <f t="shared" si="0"/>
        <v>4212.2357808942761</v>
      </c>
      <c r="E10">
        <f>VLOOKUP(A10,'2015'!$B$2:$H$122,7,FALSE)/100</f>
        <v>1.94</v>
      </c>
      <c r="I10" t="s">
        <v>149</v>
      </c>
      <c r="J10" t="s">
        <v>150</v>
      </c>
      <c r="K10">
        <v>18870.314811050725</v>
      </c>
      <c r="M10" t="s">
        <v>149</v>
      </c>
      <c r="N10" t="s">
        <v>150</v>
      </c>
      <c r="O10">
        <v>14332.866212073046</v>
      </c>
      <c r="Q10" t="s">
        <v>108</v>
      </c>
    </row>
    <row r="11" spans="1:18" x14ac:dyDescent="0.45">
      <c r="A11" t="s">
        <v>59</v>
      </c>
      <c r="B11">
        <f>VLOOKUP(A11,$I$3:$K$268,3,FALSE)</f>
        <v>33010.330760535726</v>
      </c>
      <c r="C11">
        <f>VLOOKUP(A11,'2025'!$B$2:$H$105,7,FALSE)/100</f>
        <v>2.0469999999999997</v>
      </c>
      <c r="D11">
        <f t="shared" si="0"/>
        <v>18133.531308588295</v>
      </c>
      <c r="E11">
        <f>VLOOKUP(A11,'2015'!$B$2:$H$122,7,FALSE)/100</f>
        <v>5.4550000000000001</v>
      </c>
      <c r="I11" t="s">
        <v>100</v>
      </c>
      <c r="J11" t="s">
        <v>151</v>
      </c>
      <c r="K11">
        <v>79228.73880127602</v>
      </c>
      <c r="M11" t="s">
        <v>100</v>
      </c>
      <c r="N11" t="s">
        <v>151</v>
      </c>
      <c r="O11">
        <v>73986.063639594504</v>
      </c>
      <c r="Q11" t="s">
        <v>42</v>
      </c>
      <c r="R11" t="s">
        <v>451</v>
      </c>
    </row>
    <row r="12" spans="1:18" x14ac:dyDescent="0.45">
      <c r="A12" t="s">
        <v>102</v>
      </c>
      <c r="B12">
        <f>VLOOKUP(A12,$I$3:$K$268,3,FALSE)</f>
        <v>73514.483104525832</v>
      </c>
      <c r="C12">
        <f>VLOOKUP(A12,'2025'!$B$2:$H$105,7,FALSE)/100</f>
        <v>0.48</v>
      </c>
      <c r="D12">
        <f t="shared" si="0"/>
        <v>46071.914889496016</v>
      </c>
      <c r="E12">
        <f>VLOOKUP(A12,'2015'!$B$2:$H$122,7,FALSE)/100</f>
        <v>0.45899999999999996</v>
      </c>
      <c r="I12" t="s">
        <v>29</v>
      </c>
      <c r="J12" t="s">
        <v>152</v>
      </c>
      <c r="K12">
        <v>30431.193122369299</v>
      </c>
      <c r="M12" t="s">
        <v>29</v>
      </c>
      <c r="N12" t="s">
        <v>152</v>
      </c>
      <c r="O12">
        <v>19899.149927524544</v>
      </c>
      <c r="Q12" t="s">
        <v>44</v>
      </c>
      <c r="R12" t="s">
        <v>485</v>
      </c>
    </row>
    <row r="13" spans="1:18" x14ac:dyDescent="0.45">
      <c r="A13" t="s">
        <v>67</v>
      </c>
      <c r="B13">
        <f>VLOOKUP(A13,$I$3:$K$268,3,FALSE)</f>
        <v>12877.635118437232</v>
      </c>
      <c r="C13">
        <f>VLOOKUP(A13,'2025'!$B$2:$H$105,7,FALSE)/100</f>
        <v>1.1459999999999999</v>
      </c>
      <c r="D13">
        <f t="shared" si="0"/>
        <v>8757.3177711540648</v>
      </c>
      <c r="E13">
        <f>VLOOKUP(A13,'2015'!$B$2:$H$122,7,FALSE)/100</f>
        <v>0.94499999999999995</v>
      </c>
      <c r="I13" t="s">
        <v>24</v>
      </c>
      <c r="J13" t="s">
        <v>153</v>
      </c>
      <c r="K13">
        <v>22823.17952556931</v>
      </c>
      <c r="M13" t="s">
        <v>24</v>
      </c>
      <c r="N13" t="s">
        <v>153</v>
      </c>
      <c r="O13">
        <v>9756.8408483602598</v>
      </c>
      <c r="Q13" t="s">
        <v>21</v>
      </c>
      <c r="R13" t="s">
        <v>332</v>
      </c>
    </row>
    <row r="14" spans="1:18" x14ac:dyDescent="0.45">
      <c r="A14" t="s">
        <v>53</v>
      </c>
      <c r="B14">
        <f>VLOOKUP(A14,$I$3:$K$268,3,FALSE)</f>
        <v>23345.496800010747</v>
      </c>
      <c r="C14">
        <f>VLOOKUP(A14,'2025'!$B$2:$H$105,7,FALSE)/100</f>
        <v>0.997</v>
      </c>
      <c r="D14">
        <f t="shared" si="0"/>
        <v>11066.154068834705</v>
      </c>
      <c r="E14">
        <f>VLOOKUP(A14,'2015'!$B$2:$H$122,7,FALSE)/100</f>
        <v>1.2370000000000001</v>
      </c>
      <c r="I14" t="s">
        <v>154</v>
      </c>
      <c r="J14" t="s">
        <v>155</v>
      </c>
      <c r="M14" t="s">
        <v>154</v>
      </c>
      <c r="N14" t="s">
        <v>155</v>
      </c>
      <c r="Q14" t="s">
        <v>22</v>
      </c>
    </row>
    <row r="15" spans="1:18" x14ac:dyDescent="0.45">
      <c r="A15" t="s">
        <v>37</v>
      </c>
      <c r="B15">
        <f>VLOOKUP(A15,$I$3:$K$268,3,FALSE)</f>
        <v>22338.476564063538</v>
      </c>
      <c r="C15">
        <f>VLOOKUP(A15,'2025'!$B$2:$H$105,7,FALSE)/100</f>
        <v>1.8869999999999998</v>
      </c>
      <c r="D15">
        <f t="shared" si="0"/>
        <v>14821.438317518334</v>
      </c>
      <c r="E15">
        <f>VLOOKUP(A15,'2015'!$B$2:$H$122,7,FALSE)/100</f>
        <v>2.0059999999999998</v>
      </c>
      <c r="I15" t="s">
        <v>156</v>
      </c>
      <c r="J15" t="s">
        <v>157</v>
      </c>
      <c r="K15">
        <v>33386.191712789405</v>
      </c>
      <c r="M15" t="s">
        <v>156</v>
      </c>
      <c r="N15" t="s">
        <v>157</v>
      </c>
      <c r="O15">
        <v>20985.438829217725</v>
      </c>
      <c r="Q15" t="s">
        <v>77</v>
      </c>
      <c r="R15" t="s">
        <v>527</v>
      </c>
    </row>
    <row r="16" spans="1:18" x14ac:dyDescent="0.45">
      <c r="A16" t="s">
        <v>84</v>
      </c>
      <c r="B16">
        <f>VLOOKUP(A16,$I$3:$K$268,3,FALSE)</f>
        <v>42224.444535951698</v>
      </c>
      <c r="C16">
        <f>VLOOKUP(A16,'2025'!$B$2:$H$105,7,FALSE)/100</f>
        <v>0.69200000000000006</v>
      </c>
      <c r="D16">
        <f t="shared" si="0"/>
        <v>17652.947096756332</v>
      </c>
      <c r="E16">
        <f>VLOOKUP(A16,'2015'!$B$2:$H$122,7,FALSE)/100</f>
        <v>0.93</v>
      </c>
      <c r="I16" t="s">
        <v>94</v>
      </c>
      <c r="J16" t="s">
        <v>158</v>
      </c>
      <c r="K16">
        <v>72111.184462812598</v>
      </c>
      <c r="M16" t="s">
        <v>94</v>
      </c>
      <c r="N16" t="s">
        <v>158</v>
      </c>
      <c r="O16">
        <v>46464.586762792911</v>
      </c>
      <c r="Q16" t="s">
        <v>38</v>
      </c>
      <c r="R16" t="s">
        <v>541</v>
      </c>
    </row>
    <row r="17" spans="1:18" hidden="1" x14ac:dyDescent="0.45">
      <c r="A17" t="s">
        <v>12</v>
      </c>
      <c r="B17">
        <f>VLOOKUP(A17,$I$3:$K$268,3,FALSE)</f>
        <v>5588.9864586194471</v>
      </c>
      <c r="C17">
        <f>VLOOKUP(A17,'2025'!$B$2:$H$105,7,FALSE)/100</f>
        <v>9.0779999999999994</v>
      </c>
      <c r="D17">
        <f t="shared" si="0"/>
        <v>3497.6606756395859</v>
      </c>
      <c r="E17" t="e">
        <f>VLOOKUP(A17,'2015'!$B$2:$H$122,7,FALSE)/100</f>
        <v>#N/A</v>
      </c>
      <c r="I17" t="s">
        <v>70</v>
      </c>
      <c r="J17" t="s">
        <v>159</v>
      </c>
      <c r="K17">
        <v>73911.43966313597</v>
      </c>
      <c r="M17" t="s">
        <v>70</v>
      </c>
      <c r="N17" t="s">
        <v>159</v>
      </c>
      <c r="O17">
        <v>49549.316231144054</v>
      </c>
      <c r="Q17" t="s">
        <v>17</v>
      </c>
      <c r="R17" t="s">
        <v>547</v>
      </c>
    </row>
    <row r="18" spans="1:18" x14ac:dyDescent="0.45">
      <c r="A18" t="s">
        <v>81</v>
      </c>
      <c r="B18">
        <f>VLOOKUP(A18,$I$3:$K$268,3,FALSE)</f>
        <v>64610.379517197114</v>
      </c>
      <c r="C18">
        <f>VLOOKUP(A18,'2025'!$B$2:$H$105,7,FALSE)/100</f>
        <v>0.92099999999999993</v>
      </c>
      <c r="D18">
        <f t="shared" si="0"/>
        <v>44668.091281430337</v>
      </c>
      <c r="E18">
        <f>VLOOKUP(A18,'2015'!$B$2:$H$122,7,FALSE)/100</f>
        <v>0.379</v>
      </c>
      <c r="I18" t="s">
        <v>35</v>
      </c>
      <c r="J18" t="s">
        <v>160</v>
      </c>
      <c r="K18">
        <v>25088.999375713367</v>
      </c>
      <c r="M18" t="s">
        <v>35</v>
      </c>
      <c r="N18" t="s">
        <v>160</v>
      </c>
      <c r="O18">
        <v>15075.272634791074</v>
      </c>
    </row>
    <row r="19" spans="1:18" x14ac:dyDescent="0.45">
      <c r="A19" t="s">
        <v>34</v>
      </c>
      <c r="B19">
        <f>VLOOKUP(A19,$I$3:$K$268,3,FALSE)</f>
        <v>36181.156616977023</v>
      </c>
      <c r="C19">
        <f>VLOOKUP(A19,'2025'!$B$2:$H$105,7,FALSE)/100</f>
        <v>1.2629999999999999</v>
      </c>
      <c r="D19">
        <f t="shared" si="0"/>
        <v>22468.312574554722</v>
      </c>
      <c r="E19">
        <f>VLOOKUP(A19,'2015'!$B$2:$H$122,7,FALSE)/100</f>
        <v>0.877</v>
      </c>
      <c r="I19" t="s">
        <v>161</v>
      </c>
      <c r="J19" t="s">
        <v>162</v>
      </c>
      <c r="K19">
        <v>1194.9468137038734</v>
      </c>
      <c r="M19" t="s">
        <v>161</v>
      </c>
      <c r="N19" t="s">
        <v>162</v>
      </c>
      <c r="O19">
        <v>722.03289837993327</v>
      </c>
    </row>
    <row r="20" spans="1:18" x14ac:dyDescent="0.45">
      <c r="A20" t="s">
        <v>16</v>
      </c>
      <c r="B20">
        <f>VLOOKUP(A20,$I$3:$K$268,3,FALSE)</f>
        <v>27104.870267746301</v>
      </c>
      <c r="C20">
        <f>VLOOKUP(A20,'2025'!$B$2:$H$105,7,FALSE)/100</f>
        <v>2.129</v>
      </c>
      <c r="D20">
        <f t="shared" si="0"/>
        <v>13463.333151110473</v>
      </c>
      <c r="E20">
        <f>VLOOKUP(A20,'2015'!$B$2:$H$122,7,FALSE)/100</f>
        <v>2.306</v>
      </c>
      <c r="I20" t="s">
        <v>102</v>
      </c>
      <c r="J20" t="s">
        <v>163</v>
      </c>
      <c r="K20">
        <v>73514.483104525832</v>
      </c>
      <c r="M20" t="s">
        <v>102</v>
      </c>
      <c r="N20" t="s">
        <v>163</v>
      </c>
      <c r="O20">
        <v>46071.914889496016</v>
      </c>
    </row>
    <row r="21" spans="1:18" x14ac:dyDescent="0.45">
      <c r="A21" t="s">
        <v>28</v>
      </c>
      <c r="B21">
        <f>VLOOKUP(A21,$I$3:$K$268,3,FALSE)</f>
        <v>22349.436440122994</v>
      </c>
      <c r="C21">
        <f>VLOOKUP(A21,'2025'!$B$2:$H$105,7,FALSE)/100</f>
        <v>2.6180000000000003</v>
      </c>
      <c r="D21">
        <f t="shared" si="0"/>
        <v>13332.055504821143</v>
      </c>
      <c r="E21">
        <f>VLOOKUP(A21,'2015'!$B$2:$H$122,7,FALSE)/100</f>
        <v>1.8859999999999999</v>
      </c>
      <c r="I21" t="s">
        <v>164</v>
      </c>
      <c r="J21" t="s">
        <v>165</v>
      </c>
      <c r="K21">
        <v>4434.5642184028029</v>
      </c>
      <c r="M21" t="s">
        <v>164</v>
      </c>
      <c r="N21" t="s">
        <v>165</v>
      </c>
      <c r="O21">
        <v>2725.3372481714405</v>
      </c>
    </row>
    <row r="22" spans="1:18" x14ac:dyDescent="0.45">
      <c r="A22" t="s">
        <v>79</v>
      </c>
      <c r="B22">
        <f>VLOOKUP(A22,$I$3:$K$268,3,FALSE)</f>
        <v>31106.764355672858</v>
      </c>
      <c r="C22">
        <f>VLOOKUP(A22,'2025'!$B$2:$H$105,7,FALSE)/100</f>
        <v>1.2250000000000001</v>
      </c>
      <c r="D22">
        <f t="shared" si="0"/>
        <v>17525.140462514501</v>
      </c>
      <c r="E22">
        <f>VLOOKUP(A22,'2015'!$B$2:$H$122,7,FALSE)/100</f>
        <v>0.84299999999999997</v>
      </c>
      <c r="I22" t="s">
        <v>166</v>
      </c>
      <c r="J22" t="s">
        <v>167</v>
      </c>
      <c r="K22">
        <v>2895.8915203366482</v>
      </c>
      <c r="M22" t="s">
        <v>166</v>
      </c>
      <c r="N22" t="s">
        <v>167</v>
      </c>
      <c r="O22">
        <v>1691.5793538740807</v>
      </c>
    </row>
    <row r="23" spans="1:18" x14ac:dyDescent="0.45">
      <c r="A23" t="s">
        <v>60</v>
      </c>
      <c r="B23">
        <f>VLOOKUP(A23,$I$3:$K$268,3,FALSE)</f>
        <v>49645.745685441332</v>
      </c>
      <c r="C23">
        <f>VLOOKUP(A23,'2025'!$B$2:$H$105,7,FALSE)/100</f>
        <v>0.95799999999999996</v>
      </c>
      <c r="D23">
        <f t="shared" si="0"/>
        <v>22187.17739422802</v>
      </c>
      <c r="E23">
        <f>VLOOKUP(A23,'2015'!$B$2:$H$122,7,FALSE)/100</f>
        <v>1.1000000000000001</v>
      </c>
      <c r="I23" t="s">
        <v>61</v>
      </c>
      <c r="J23" t="s">
        <v>168</v>
      </c>
      <c r="K23">
        <v>9646.7698438325478</v>
      </c>
      <c r="M23" t="s">
        <v>61</v>
      </c>
      <c r="N23" t="s">
        <v>168</v>
      </c>
      <c r="O23">
        <v>4212.2357808942761</v>
      </c>
    </row>
    <row r="24" spans="1:18" x14ac:dyDescent="0.45">
      <c r="A24" t="s">
        <v>93</v>
      </c>
      <c r="B24">
        <f>VLOOKUP(A24,$I$3:$K$268,3,FALSE)</f>
        <v>62312.07421875</v>
      </c>
      <c r="C24">
        <f>VLOOKUP(A24,'2025'!$B$2:$H$105,7,FALSE)/100</f>
        <v>0.61199999999999999</v>
      </c>
      <c r="D24">
        <f t="shared" si="0"/>
        <v>29315.724609375</v>
      </c>
      <c r="E24">
        <f>VLOOKUP(A24,'2015'!$B$2:$H$122,7,FALSE)/100</f>
        <v>0.64</v>
      </c>
      <c r="I24" t="s">
        <v>84</v>
      </c>
      <c r="J24" t="s">
        <v>169</v>
      </c>
      <c r="K24">
        <v>42224.444535951698</v>
      </c>
      <c r="M24" t="s">
        <v>84</v>
      </c>
      <c r="N24" t="s">
        <v>169</v>
      </c>
      <c r="O24">
        <v>17652.947096756332</v>
      </c>
    </row>
    <row r="25" spans="1:18" hidden="1" x14ac:dyDescent="0.45">
      <c r="A25" t="s">
        <v>219</v>
      </c>
      <c r="B25">
        <f>VLOOKUP(A25,$I$3:$K$268,3,FALSE)</f>
        <v>57285.423700137915</v>
      </c>
      <c r="C25" t="e">
        <f>VLOOKUP(A25,'2025'!$B$2:$H$105,7,FALSE)/100</f>
        <v>#N/A</v>
      </c>
      <c r="D25">
        <f t="shared" si="0"/>
        <v>34093.028059374767</v>
      </c>
      <c r="E25" t="e">
        <f>VLOOKUP(A25,'2015'!$B$2:$H$122,7,FALSE)/100</f>
        <v>#N/A</v>
      </c>
      <c r="I25" t="s">
        <v>125</v>
      </c>
      <c r="J25" t="s">
        <v>170</v>
      </c>
      <c r="K25">
        <v>66941.243036798929</v>
      </c>
      <c r="M25" t="s">
        <v>125</v>
      </c>
      <c r="N25" t="s">
        <v>170</v>
      </c>
      <c r="O25">
        <v>48034.246888050344</v>
      </c>
    </row>
    <row r="26" spans="1:18" x14ac:dyDescent="0.45">
      <c r="A26" t="s">
        <v>106</v>
      </c>
      <c r="B26">
        <f>VLOOKUP(A26,$I$3:$K$268,3,FALSE)</f>
        <v>81878.234984918134</v>
      </c>
      <c r="C26">
        <f>VLOOKUP(A26,'2025'!$B$2:$H$105,7,FALSE)/100</f>
        <v>0.48100000000000004</v>
      </c>
      <c r="D26">
        <f t="shared" si="0"/>
        <v>48897.209977661121</v>
      </c>
      <c r="E26">
        <f>VLOOKUP(A26,'2015'!$B$2:$H$122,7,FALSE)/100</f>
        <v>0.34299999999999997</v>
      </c>
      <c r="I26" t="s">
        <v>171</v>
      </c>
      <c r="J26" t="s">
        <v>172</v>
      </c>
      <c r="K26">
        <v>41197.934254847678</v>
      </c>
      <c r="M26" t="s">
        <v>171</v>
      </c>
      <c r="N26" t="s">
        <v>172</v>
      </c>
      <c r="O26">
        <v>32137.578472990499</v>
      </c>
    </row>
    <row r="27" spans="1:18" x14ac:dyDescent="0.45">
      <c r="A27" t="s">
        <v>32</v>
      </c>
      <c r="B27">
        <f>VLOOKUP(A27,$I$3:$K$268,3,FALSE)</f>
        <v>27541.662528338416</v>
      </c>
      <c r="C27">
        <f>VLOOKUP(A27,'2025'!$B$2:$H$105,7,FALSE)/100</f>
        <v>2.3490000000000002</v>
      </c>
      <c r="D27">
        <f t="shared" si="0"/>
        <v>14804.097406965937</v>
      </c>
      <c r="E27">
        <f>VLOOKUP(A27,'2015'!$B$2:$H$122,7,FALSE)/100</f>
        <v>1.7190000000000001</v>
      </c>
      <c r="I27" t="s">
        <v>173</v>
      </c>
      <c r="J27" t="s">
        <v>174</v>
      </c>
      <c r="K27">
        <v>23345.496800010747</v>
      </c>
      <c r="M27" t="s">
        <v>173</v>
      </c>
      <c r="N27" t="s">
        <v>174</v>
      </c>
      <c r="O27">
        <v>11066.154068834705</v>
      </c>
    </row>
    <row r="28" spans="1:18" x14ac:dyDescent="0.45">
      <c r="A28" t="s">
        <v>68</v>
      </c>
      <c r="B28">
        <f>VLOOKUP(A28,$I$3:$K$268,3,FALSE)</f>
        <v>15840.266856741184</v>
      </c>
      <c r="C28">
        <f>VLOOKUP(A28,'2025'!$B$2:$H$105,7,FALSE)/100</f>
        <v>1.375</v>
      </c>
      <c r="D28">
        <f t="shared" si="0"/>
        <v>10877.750746138814</v>
      </c>
      <c r="E28">
        <f>VLOOKUP(A28,'2015'!$B$2:$H$122,7,FALSE)/100</f>
        <v>1.6769999999999998</v>
      </c>
      <c r="I28" t="s">
        <v>59</v>
      </c>
      <c r="J28" t="s">
        <v>175</v>
      </c>
      <c r="K28">
        <v>33010.330760535726</v>
      </c>
      <c r="M28" t="s">
        <v>59</v>
      </c>
      <c r="N28" t="s">
        <v>175</v>
      </c>
      <c r="O28">
        <v>18133.531308588295</v>
      </c>
    </row>
    <row r="29" spans="1:18" hidden="1" x14ac:dyDescent="0.45">
      <c r="A29" t="s">
        <v>240</v>
      </c>
      <c r="B29">
        <f>VLOOKUP(A29,$I$3:$K$268,3,FALSE)</f>
        <v>19094.144944411131</v>
      </c>
      <c r="C29" t="e">
        <f>VLOOKUP(A29,'2025'!$B$2:$H$105,7,FALSE)/100</f>
        <v>#N/A</v>
      </c>
      <c r="D29">
        <f t="shared" si="0"/>
        <v>10903.336823118485</v>
      </c>
      <c r="E29" t="e">
        <f>VLOOKUP(A29,'2015'!$B$2:$H$122,7,FALSE)/100</f>
        <v>#N/A</v>
      </c>
      <c r="I29" t="s">
        <v>131</v>
      </c>
      <c r="J29" t="s">
        <v>176</v>
      </c>
      <c r="K29">
        <v>14346.518804973712</v>
      </c>
      <c r="M29" t="s">
        <v>131</v>
      </c>
      <c r="N29" t="s">
        <v>176</v>
      </c>
      <c r="O29">
        <v>9538.3869114600875</v>
      </c>
    </row>
    <row r="30" spans="1:18" x14ac:dyDescent="0.45">
      <c r="A30" t="s">
        <v>30</v>
      </c>
      <c r="B30">
        <f>VLOOKUP(A30,$I$3:$K$268,3,FALSE)</f>
        <v>13264.027090968028</v>
      </c>
      <c r="C30">
        <f>VLOOKUP(A30,'2025'!$B$2:$H$105,7,FALSE)/100</f>
        <v>1.9590000000000001</v>
      </c>
      <c r="D30">
        <f t="shared" si="0"/>
        <v>7933.7369785899909</v>
      </c>
      <c r="E30">
        <f>VLOOKUP(A30,'2015'!$B$2:$H$122,7,FALSE)/100</f>
        <v>3.3610000000000002</v>
      </c>
      <c r="I30" t="s">
        <v>177</v>
      </c>
      <c r="J30" t="s">
        <v>178</v>
      </c>
      <c r="K30">
        <v>124252.83570258624</v>
      </c>
      <c r="M30" t="s">
        <v>177</v>
      </c>
      <c r="N30" t="s">
        <v>178</v>
      </c>
      <c r="O30">
        <v>75943.464297092243</v>
      </c>
    </row>
    <row r="31" spans="1:18" x14ac:dyDescent="0.45">
      <c r="A31" t="s">
        <v>71</v>
      </c>
      <c r="B31">
        <f>VLOOKUP(A31,$I$3:$K$268,3,FALSE)</f>
        <v>49968.710827837298</v>
      </c>
      <c r="C31">
        <f>VLOOKUP(A31,'2025'!$B$2:$H$105,7,FALSE)/100</f>
        <v>0.91400000000000003</v>
      </c>
      <c r="D31">
        <f t="shared" si="0"/>
        <v>29712.629947372814</v>
      </c>
      <c r="E31">
        <f>VLOOKUP(A31,'2015'!$B$2:$H$122,7,FALSE)/100</f>
        <v>0.78099999999999992</v>
      </c>
      <c r="I31" t="s">
        <v>67</v>
      </c>
      <c r="J31" t="s">
        <v>179</v>
      </c>
      <c r="K31">
        <v>12877.635118437232</v>
      </c>
      <c r="M31" t="s">
        <v>67</v>
      </c>
      <c r="N31" t="s">
        <v>179</v>
      </c>
      <c r="O31">
        <v>8757.3177711540648</v>
      </c>
    </row>
    <row r="32" spans="1:18" x14ac:dyDescent="0.45">
      <c r="A32" t="s">
        <v>11</v>
      </c>
      <c r="B32">
        <f>VLOOKUP(A32,$I$3:$K$268,3,FALSE)</f>
        <v>3287.5349215889282</v>
      </c>
      <c r="C32">
        <f>VLOOKUP(A32,'2025'!$B$2:$H$105,7,FALSE)/100</f>
        <v>7.6229999999999993</v>
      </c>
      <c r="D32">
        <f t="shared" si="0"/>
        <v>1632.6181800683673</v>
      </c>
      <c r="E32">
        <f>VLOOKUP(A32,'2015'!$B$2:$H$122,7,FALSE)/100</f>
        <v>1.75</v>
      </c>
      <c r="I32" t="s">
        <v>37</v>
      </c>
      <c r="J32" t="s">
        <v>180</v>
      </c>
      <c r="K32">
        <v>22338.476564063538</v>
      </c>
      <c r="M32" t="s">
        <v>37</v>
      </c>
      <c r="N32" t="s">
        <v>180</v>
      </c>
      <c r="O32">
        <v>14821.438317518334</v>
      </c>
    </row>
    <row r="33" spans="1:15" x14ac:dyDescent="0.45">
      <c r="A33" t="s">
        <v>95</v>
      </c>
      <c r="B33">
        <f>VLOOKUP(A33,$I$3:$K$268,3,FALSE)</f>
        <v>65378.384185972063</v>
      </c>
      <c r="C33">
        <f>VLOOKUP(A33,'2025'!$B$2:$H$105,7,FALSE)/100</f>
        <v>0.56700000000000006</v>
      </c>
      <c r="D33">
        <f t="shared" si="0"/>
        <v>42257.859379129681</v>
      </c>
      <c r="E33">
        <f>VLOOKUP(A33,'2015'!$B$2:$H$122,7,FALSE)/100</f>
        <v>0.435</v>
      </c>
      <c r="I33" t="s">
        <v>181</v>
      </c>
      <c r="J33" t="s">
        <v>182</v>
      </c>
      <c r="K33">
        <v>24822.534330990835</v>
      </c>
      <c r="M33" t="s">
        <v>181</v>
      </c>
      <c r="N33" t="s">
        <v>182</v>
      </c>
      <c r="O33">
        <v>19185.518640792416</v>
      </c>
    </row>
    <row r="34" spans="1:15" x14ac:dyDescent="0.45">
      <c r="A34" t="s">
        <v>80</v>
      </c>
      <c r="B34">
        <f>VLOOKUP(A34,$I$3:$K$268,3,FALSE)</f>
        <v>62556.918104540004</v>
      </c>
      <c r="C34">
        <f>VLOOKUP(A34,'2025'!$B$2:$H$105,7,FALSE)/100</f>
        <v>0.72499999999999998</v>
      </c>
      <c r="D34">
        <f t="shared" si="0"/>
        <v>40905.17677509936</v>
      </c>
      <c r="E34">
        <f>VLOOKUP(A34,'2015'!$B$2:$H$122,7,FALSE)/100</f>
        <v>0.66700000000000004</v>
      </c>
      <c r="I34" t="s">
        <v>183</v>
      </c>
      <c r="J34" t="s">
        <v>184</v>
      </c>
      <c r="K34">
        <v>89879.36149807577</v>
      </c>
      <c r="M34" t="s">
        <v>183</v>
      </c>
      <c r="N34" t="s">
        <v>184</v>
      </c>
      <c r="O34">
        <v>62707.826443774102</v>
      </c>
    </row>
    <row r="35" spans="1:15" x14ac:dyDescent="0.45">
      <c r="A35" t="s">
        <v>62</v>
      </c>
      <c r="B35">
        <f>VLOOKUP(A35,$I$3:$K$268,3,FALSE)</f>
        <v>28285.073280298224</v>
      </c>
      <c r="C35">
        <f>VLOOKUP(A35,'2025'!$B$2:$H$105,7,FALSE)/100</f>
        <v>1.6540000000000001</v>
      </c>
      <c r="D35">
        <f t="shared" si="0"/>
        <v>12269.652893276785</v>
      </c>
      <c r="E35">
        <f>VLOOKUP(A35,'2015'!$B$2:$H$122,7,FALSE)/100</f>
        <v>2.0859999999999999</v>
      </c>
      <c r="I35" t="s">
        <v>185</v>
      </c>
      <c r="J35" t="s">
        <v>186</v>
      </c>
      <c r="M35" t="s">
        <v>185</v>
      </c>
      <c r="N35" t="s">
        <v>186</v>
      </c>
      <c r="O35">
        <v>10213.813960892168</v>
      </c>
    </row>
    <row r="36" spans="1:15" x14ac:dyDescent="0.45">
      <c r="A36" t="s">
        <v>85</v>
      </c>
      <c r="B36">
        <f>VLOOKUP(A36,$I$3:$K$268,3,FALSE)</f>
        <v>73551.934769683605</v>
      </c>
      <c r="C36">
        <f>VLOOKUP(A36,'2025'!$B$2:$H$105,7,FALSE)/100</f>
        <v>0.64599999999999991</v>
      </c>
      <c r="D36">
        <f t="shared" si="0"/>
        <v>48545.40072196204</v>
      </c>
      <c r="E36">
        <f>VLOOKUP(A36,'2015'!$B$2:$H$122,7,FALSE)/100</f>
        <v>0.44299999999999995</v>
      </c>
      <c r="I36" t="s">
        <v>120</v>
      </c>
      <c r="J36" t="s">
        <v>187</v>
      </c>
      <c r="K36">
        <v>20538.132017888911</v>
      </c>
      <c r="M36" t="s">
        <v>120</v>
      </c>
      <c r="N36" t="s">
        <v>187</v>
      </c>
      <c r="O36">
        <v>14143.694073372764</v>
      </c>
    </row>
    <row r="37" spans="1:15" x14ac:dyDescent="0.45">
      <c r="A37" t="s">
        <v>57</v>
      </c>
      <c r="B37">
        <f>VLOOKUP(A37,$I$3:$K$268,3,FALSE)</f>
        <v>44327.209780827565</v>
      </c>
      <c r="C37">
        <f>VLOOKUP(A37,'2025'!$B$2:$H$105,7,FALSE)/100</f>
        <v>0.99199999999999999</v>
      </c>
      <c r="D37">
        <f t="shared" si="0"/>
        <v>26607.725679697571</v>
      </c>
      <c r="E37">
        <f>VLOOKUP(A37,'2015'!$B$2:$H$122,7,FALSE)/100</f>
        <v>0.753</v>
      </c>
      <c r="I37" t="s">
        <v>188</v>
      </c>
      <c r="J37" t="s">
        <v>189</v>
      </c>
      <c r="K37">
        <v>1263.1023421369896</v>
      </c>
      <c r="M37" t="s">
        <v>188</v>
      </c>
      <c r="N37" t="s">
        <v>189</v>
      </c>
      <c r="O37">
        <v>768.87088799917353</v>
      </c>
    </row>
    <row r="38" spans="1:15" hidden="1" x14ac:dyDescent="0.45">
      <c r="A38" t="s">
        <v>288</v>
      </c>
      <c r="B38">
        <f>VLOOKUP(A38,$I$3:$K$268,3,FALSE)</f>
        <v>75195.986597061506</v>
      </c>
      <c r="C38" t="e">
        <f>VLOOKUP(A38,'2025'!$B$2:$H$105,7,FALSE)/100</f>
        <v>#N/A</v>
      </c>
      <c r="D38">
        <f t="shared" si="0"/>
        <v>56043.042695697033</v>
      </c>
      <c r="E38" t="e">
        <f>VLOOKUP(A38,'2015'!$B$2:$H$122,7,FALSE)/100</f>
        <v>#N/A</v>
      </c>
      <c r="I38" t="s">
        <v>81</v>
      </c>
      <c r="J38" t="s">
        <v>190</v>
      </c>
      <c r="K38">
        <v>64610.379517197114</v>
      </c>
      <c r="M38" t="s">
        <v>81</v>
      </c>
      <c r="N38" t="s">
        <v>190</v>
      </c>
      <c r="O38">
        <v>44668.091281430337</v>
      </c>
    </row>
    <row r="39" spans="1:15" x14ac:dyDescent="0.45">
      <c r="A39" t="s">
        <v>56</v>
      </c>
      <c r="B39">
        <f>VLOOKUP(A39,$I$3:$K$268,3,FALSE)</f>
        <v>48552.47080925294</v>
      </c>
      <c r="C39">
        <f>VLOOKUP(A39,'2025'!$B$2:$H$105,7,FALSE)/100</f>
        <v>1.2709999999999999</v>
      </c>
      <c r="D39">
        <f t="shared" si="0"/>
        <v>26937.732081886443</v>
      </c>
      <c r="E39">
        <f>VLOOKUP(A39,'2015'!$B$2:$H$122,7,FALSE)/100</f>
        <v>0.84</v>
      </c>
      <c r="I39" t="s">
        <v>191</v>
      </c>
      <c r="J39" t="s">
        <v>192</v>
      </c>
      <c r="K39">
        <v>50599.211687955554</v>
      </c>
      <c r="M39" t="s">
        <v>191</v>
      </c>
      <c r="N39" t="s">
        <v>192</v>
      </c>
      <c r="O39">
        <v>25780.238867344793</v>
      </c>
    </row>
    <row r="40" spans="1:15" x14ac:dyDescent="0.45">
      <c r="A40" t="s">
        <v>104</v>
      </c>
      <c r="B40">
        <f>VLOOKUP(A40,$I$3:$K$268,3,FALSE)</f>
        <v>84256.845457311152</v>
      </c>
      <c r="C40">
        <f>VLOOKUP(A40,'2025'!$B$2:$H$105,7,FALSE)/100</f>
        <v>0.746</v>
      </c>
      <c r="D40">
        <f t="shared" si="0"/>
        <v>49201.064096455295</v>
      </c>
      <c r="E40">
        <f>VLOOKUP(A40,'2015'!$B$2:$H$122,7,FALSE)/100</f>
        <v>0.52700000000000002</v>
      </c>
      <c r="I40" t="s">
        <v>75</v>
      </c>
      <c r="J40" t="s">
        <v>193</v>
      </c>
      <c r="K40">
        <v>96497.694797132295</v>
      </c>
      <c r="M40" t="s">
        <v>75</v>
      </c>
      <c r="N40" t="s">
        <v>193</v>
      </c>
      <c r="O40">
        <v>65265.045733559971</v>
      </c>
    </row>
    <row r="41" spans="1:15" x14ac:dyDescent="0.45">
      <c r="A41" t="s">
        <v>76</v>
      </c>
      <c r="B41">
        <f>VLOOKUP(A41,$I$3:$K$268,3,FALSE)</f>
        <v>11159.985647609126</v>
      </c>
      <c r="C41">
        <f>VLOOKUP(A41,'2025'!$B$2:$H$105,7,FALSE)/100</f>
        <v>1.177</v>
      </c>
      <c r="D41">
        <f t="shared" si="0"/>
        <v>5425.0359909104618</v>
      </c>
      <c r="E41">
        <f>VLOOKUP(A41,'2015'!$B$2:$H$122,7,FALSE)/100</f>
        <v>1.244</v>
      </c>
      <c r="I41" t="s">
        <v>194</v>
      </c>
      <c r="J41" t="s">
        <v>195</v>
      </c>
      <c r="M41" t="s">
        <v>194</v>
      </c>
      <c r="N41" t="s">
        <v>195</v>
      </c>
    </row>
    <row r="42" spans="1:15" x14ac:dyDescent="0.45">
      <c r="A42" t="s">
        <v>40</v>
      </c>
      <c r="B42">
        <f>VLOOKUP(A42,$I$3:$K$268,3,FALSE)</f>
        <v>16448.275517955855</v>
      </c>
      <c r="C42">
        <f>VLOOKUP(A42,'2025'!$B$2:$H$105,7,FALSE)/100</f>
        <v>1.633</v>
      </c>
      <c r="D42">
        <f t="shared" si="0"/>
        <v>10027.537299602549</v>
      </c>
      <c r="E42">
        <f>VLOOKUP(A42,'2015'!$B$2:$H$122,7,FALSE)/100</f>
        <v>2.1739999999999999</v>
      </c>
      <c r="I42" t="s">
        <v>34</v>
      </c>
      <c r="J42" t="s">
        <v>196</v>
      </c>
      <c r="K42">
        <v>36181.156616977023</v>
      </c>
      <c r="M42" t="s">
        <v>34</v>
      </c>
      <c r="N42" t="s">
        <v>196</v>
      </c>
      <c r="O42">
        <v>22468.312574554722</v>
      </c>
    </row>
    <row r="43" spans="1:15" hidden="1" x14ac:dyDescent="0.45">
      <c r="A43" t="s">
        <v>314</v>
      </c>
      <c r="B43">
        <f>VLOOKUP(A43,$I$3:$K$268,3,FALSE)</f>
        <v>19873.88608538052</v>
      </c>
      <c r="C43" t="e">
        <f>VLOOKUP(A43,'2025'!$B$2:$H$105,7,FALSE)/100</f>
        <v>#N/A</v>
      </c>
      <c r="D43">
        <f t="shared" si="0"/>
        <v>14273.549906158638</v>
      </c>
      <c r="E43" t="e">
        <f>VLOOKUP(A43,'2015'!$B$2:$H$122,7,FALSE)/100</f>
        <v>#N/A</v>
      </c>
      <c r="I43" t="s">
        <v>16</v>
      </c>
      <c r="J43" t="s">
        <v>197</v>
      </c>
      <c r="K43">
        <v>27104.870267746301</v>
      </c>
      <c r="M43" t="s">
        <v>16</v>
      </c>
      <c r="N43" t="s">
        <v>197</v>
      </c>
      <c r="O43">
        <v>13463.333151110473</v>
      </c>
    </row>
    <row r="44" spans="1:15" x14ac:dyDescent="0.45">
      <c r="A44" t="s">
        <v>91</v>
      </c>
      <c r="B44">
        <f>VLOOKUP(A44,$I$3:$K$268,3,FALSE)</f>
        <v>14464.31869281728</v>
      </c>
      <c r="C44">
        <f>VLOOKUP(A44,'2025'!$B$2:$H$105,7,FALSE)/100</f>
        <v>0.86900000000000011</v>
      </c>
      <c r="D44">
        <f t="shared" si="0"/>
        <v>9334.4660486631528</v>
      </c>
      <c r="E44">
        <f>VLOOKUP(A44,'2015'!$B$2:$H$122,7,FALSE)/100</f>
        <v>0.93200000000000005</v>
      </c>
      <c r="I44" t="s">
        <v>198</v>
      </c>
      <c r="J44" t="s">
        <v>199</v>
      </c>
      <c r="K44">
        <v>7669.2319571568687</v>
      </c>
      <c r="M44" t="s">
        <v>198</v>
      </c>
      <c r="N44" t="s">
        <v>199</v>
      </c>
      <c r="O44">
        <v>4403.6429661899847</v>
      </c>
    </row>
    <row r="45" spans="1:15" x14ac:dyDescent="0.45">
      <c r="A45" t="s">
        <v>103</v>
      </c>
      <c r="B45">
        <f>VLOOKUP(A45,$I$3:$K$268,3,FALSE)</f>
        <v>133437.47011701888</v>
      </c>
      <c r="C45">
        <f>VLOOKUP(A45,'2025'!$B$2:$H$105,7,FALSE)/100</f>
        <v>0.51100000000000001</v>
      </c>
      <c r="D45">
        <f t="shared" si="0"/>
        <v>71588.265663837767</v>
      </c>
      <c r="E45">
        <f>VLOOKUP(A45,'2015'!$B$2:$H$122,7,FALSE)/100</f>
        <v>0.45</v>
      </c>
      <c r="I45" t="s">
        <v>12</v>
      </c>
      <c r="J45" t="s">
        <v>200</v>
      </c>
      <c r="K45">
        <v>5588.9864586194471</v>
      </c>
      <c r="M45" t="s">
        <v>12</v>
      </c>
      <c r="N45" t="s">
        <v>200</v>
      </c>
      <c r="O45">
        <v>3497.6606756395859</v>
      </c>
    </row>
    <row r="46" spans="1:15" x14ac:dyDescent="0.45">
      <c r="A46" t="s">
        <v>46</v>
      </c>
      <c r="B46">
        <f>VLOOKUP(A46,$I$3:$K$268,3,FALSE)</f>
        <v>57235.776324413557</v>
      </c>
      <c r="C46">
        <f>VLOOKUP(A46,'2025'!$B$2:$H$105,7,FALSE)/100</f>
        <v>1.0649999999999999</v>
      </c>
      <c r="D46">
        <f t="shared" si="0"/>
        <v>35870.792715630116</v>
      </c>
      <c r="E46">
        <f>VLOOKUP(A46,'2015'!$B$2:$H$122,7,FALSE)/100</f>
        <v>0.68900000000000006</v>
      </c>
      <c r="I46" t="s">
        <v>201</v>
      </c>
      <c r="J46" t="s">
        <v>202</v>
      </c>
      <c r="K46">
        <v>1821.0486871805758</v>
      </c>
      <c r="M46" t="s">
        <v>201</v>
      </c>
      <c r="N46" t="s">
        <v>202</v>
      </c>
      <c r="O46">
        <v>910.39313163865666</v>
      </c>
    </row>
    <row r="47" spans="1:15" x14ac:dyDescent="0.45">
      <c r="A47" t="s">
        <v>83</v>
      </c>
      <c r="B47">
        <f>VLOOKUP(A47,$I$3:$K$268,3,FALSE)</f>
        <v>62014.26751536892</v>
      </c>
      <c r="C47">
        <f>VLOOKUP(A47,'2025'!$B$2:$H$105,7,FALSE)/100</f>
        <v>0.72699999999999998</v>
      </c>
      <c r="D47">
        <f t="shared" si="0"/>
        <v>37384.37964554059</v>
      </c>
      <c r="E47">
        <f>VLOOKUP(A47,'2015'!$B$2:$H$122,7,FALSE)/100</f>
        <v>0.94099999999999995</v>
      </c>
      <c r="I47" t="s">
        <v>203</v>
      </c>
      <c r="J47" t="s">
        <v>204</v>
      </c>
      <c r="K47">
        <v>7026.3622328149395</v>
      </c>
      <c r="M47" t="s">
        <v>203</v>
      </c>
      <c r="N47" t="s">
        <v>204</v>
      </c>
      <c r="O47">
        <v>4715.1343158162426</v>
      </c>
    </row>
    <row r="48" spans="1:15" x14ac:dyDescent="0.45">
      <c r="A48" t="s">
        <v>66</v>
      </c>
      <c r="B48">
        <f>VLOOKUP(A48,$I$3:$K$268,3,FALSE)</f>
        <v>52039.171655161132</v>
      </c>
      <c r="C48">
        <f>VLOOKUP(A48,'2025'!$B$2:$H$105,7,FALSE)/100</f>
        <v>0.72900000000000009</v>
      </c>
      <c r="D48">
        <f t="shared" si="0"/>
        <v>40898.806973960003</v>
      </c>
      <c r="E48">
        <f>VLOOKUP(A48,'2015'!$B$2:$H$122,7,FALSE)/100</f>
        <v>0.55799999999999994</v>
      </c>
      <c r="I48" t="s">
        <v>28</v>
      </c>
      <c r="J48" t="s">
        <v>205</v>
      </c>
      <c r="K48">
        <v>22349.436440122994</v>
      </c>
      <c r="M48" t="s">
        <v>28</v>
      </c>
      <c r="N48" t="s">
        <v>205</v>
      </c>
      <c r="O48">
        <v>13332.055504821143</v>
      </c>
    </row>
    <row r="49" spans="1:15" x14ac:dyDescent="0.45">
      <c r="A49" t="s">
        <v>101</v>
      </c>
      <c r="B49">
        <f>VLOOKUP(A49,$I$3:$K$268,3,FALSE)</f>
        <v>10821.490976531695</v>
      </c>
      <c r="C49">
        <f>VLOOKUP(A49,'2025'!$B$2:$H$105,7,FALSE)/100</f>
        <v>0.67299999999999993</v>
      </c>
      <c r="D49">
        <f t="shared" si="0"/>
        <v>8967.0799583780827</v>
      </c>
      <c r="E49">
        <f>VLOOKUP(A49,'2015'!$B$2:$H$122,7,FALSE)/100</f>
        <v>0.875</v>
      </c>
      <c r="I49" t="s">
        <v>206</v>
      </c>
      <c r="J49" t="s">
        <v>207</v>
      </c>
      <c r="K49">
        <v>3958.5322878968741</v>
      </c>
      <c r="M49" t="s">
        <v>206</v>
      </c>
      <c r="N49" t="s">
        <v>207</v>
      </c>
      <c r="O49">
        <v>2949.4734224099275</v>
      </c>
    </row>
    <row r="50" spans="1:15" x14ac:dyDescent="0.45">
      <c r="A50" t="s">
        <v>82</v>
      </c>
      <c r="B50">
        <f>VLOOKUP(A50,$I$3:$K$268,3,FALSE)</f>
        <v>40890.931769440824</v>
      </c>
      <c r="C50">
        <f>VLOOKUP(A50,'2025'!$B$2:$H$105,7,FALSE)/100</f>
        <v>1.7730000000000001</v>
      </c>
      <c r="D50">
        <f t="shared" si="0"/>
        <v>22484.365138260669</v>
      </c>
      <c r="E50">
        <f>VLOOKUP(A50,'2015'!$B$2:$H$122,7,FALSE)/100</f>
        <v>1.867</v>
      </c>
      <c r="I50" t="s">
        <v>208</v>
      </c>
      <c r="J50" t="s">
        <v>209</v>
      </c>
      <c r="K50">
        <v>11195.120531292341</v>
      </c>
      <c r="M50" t="s">
        <v>208</v>
      </c>
      <c r="N50" t="s">
        <v>209</v>
      </c>
      <c r="O50">
        <v>6773.4867996938583</v>
      </c>
    </row>
    <row r="51" spans="1:15" hidden="1" x14ac:dyDescent="0.45">
      <c r="A51" t="s">
        <v>332</v>
      </c>
      <c r="B51">
        <f>VLOOKUP(A51,$I$3:$K$268,3,FALSE)</f>
        <v>61051.349250249827</v>
      </c>
      <c r="C51" t="e">
        <f>VLOOKUP(A51,'2025'!$B$2:$H$105,7,FALSE)/100</f>
        <v>#N/A</v>
      </c>
      <c r="D51">
        <f t="shared" si="0"/>
        <v>39794.196118004278</v>
      </c>
      <c r="E51" t="e">
        <f>VLOOKUP(A51,'2015'!$B$2:$H$122,7,FALSE)/100</f>
        <v>#N/A</v>
      </c>
      <c r="I51" t="s">
        <v>79</v>
      </c>
      <c r="J51" t="s">
        <v>210</v>
      </c>
      <c r="K51">
        <v>31106.764355672858</v>
      </c>
      <c r="M51" t="s">
        <v>79</v>
      </c>
      <c r="N51" t="s">
        <v>210</v>
      </c>
      <c r="O51">
        <v>17525.140462514501</v>
      </c>
    </row>
    <row r="52" spans="1:15" x14ac:dyDescent="0.45">
      <c r="A52" t="s">
        <v>99</v>
      </c>
      <c r="B52">
        <f>VLOOKUP(A52,$I$3:$K$268,3,FALSE)</f>
        <v>52443.596922362623</v>
      </c>
      <c r="C52">
        <f>VLOOKUP(A52,'2025'!$B$2:$H$105,7,FALSE)/100</f>
        <v>0.60699999999999998</v>
      </c>
      <c r="D52">
        <f t="shared" si="0"/>
        <v>45267.308534745178</v>
      </c>
      <c r="E52">
        <f>VLOOKUP(A52,'2015'!$B$2:$H$122,7,FALSE)/100</f>
        <v>0.54700000000000004</v>
      </c>
      <c r="I52" t="s">
        <v>211</v>
      </c>
      <c r="J52" t="s">
        <v>212</v>
      </c>
      <c r="K52">
        <v>38624.060544169784</v>
      </c>
      <c r="M52" t="s">
        <v>211</v>
      </c>
      <c r="N52" t="s">
        <v>212</v>
      </c>
      <c r="O52">
        <v>20632.337685164533</v>
      </c>
    </row>
    <row r="53" spans="1:15" hidden="1" x14ac:dyDescent="0.45">
      <c r="A53" t="s">
        <v>325</v>
      </c>
      <c r="B53">
        <f>VLOOKUP(A53,$I$3:$K$268,3,FALSE)</f>
        <v>8012.4546444219386</v>
      </c>
      <c r="C53" t="e">
        <f>VLOOKUP(A53,'2025'!$B$2:$H$105,7,FALSE)/100</f>
        <v>#N/A</v>
      </c>
      <c r="D53">
        <f t="shared" si="0"/>
        <v>4153.3766990372033</v>
      </c>
      <c r="E53" t="e">
        <f>VLOOKUP(A53,'2015'!$B$2:$H$122,7,FALSE)/100</f>
        <v>#N/A</v>
      </c>
      <c r="I53" t="s">
        <v>10</v>
      </c>
      <c r="J53" t="s">
        <v>213</v>
      </c>
      <c r="M53" t="s">
        <v>10</v>
      </c>
      <c r="N53" t="s">
        <v>213</v>
      </c>
    </row>
    <row r="54" spans="1:15" x14ac:dyDescent="0.45">
      <c r="A54" t="s">
        <v>89</v>
      </c>
      <c r="B54">
        <f>VLOOKUP(A54,$I$3:$K$268,3,FALSE)</f>
        <v>43394.273282231392</v>
      </c>
      <c r="C54">
        <f>VLOOKUP(A54,'2025'!$B$2:$H$105,7,FALSE)/100</f>
        <v>0.6409999999999999</v>
      </c>
      <c r="D54">
        <f t="shared" si="0"/>
        <v>22543.918316410469</v>
      </c>
      <c r="E54">
        <f>VLOOKUP(A54,'2015'!$B$2:$H$122,7,FALSE)/100</f>
        <v>0.83499999999999996</v>
      </c>
      <c r="I54" t="s">
        <v>214</v>
      </c>
      <c r="J54" t="s">
        <v>215</v>
      </c>
      <c r="K54">
        <v>32693.293976489305</v>
      </c>
      <c r="M54" t="s">
        <v>214</v>
      </c>
      <c r="N54" t="s">
        <v>215</v>
      </c>
      <c r="O54">
        <v>24037.648578273474</v>
      </c>
    </row>
    <row r="55" spans="1:15" x14ac:dyDescent="0.45">
      <c r="A55" t="s">
        <v>63</v>
      </c>
      <c r="B55">
        <f>VLOOKUP(A55,$I$3:$K$268,3,FALSE)</f>
        <v>55285.899193430414</v>
      </c>
      <c r="C55">
        <f>VLOOKUP(A55,'2025'!$B$2:$H$105,7,FALSE)/100</f>
        <v>0.91900000000000004</v>
      </c>
      <c r="D55">
        <f t="shared" si="0"/>
        <v>26948.591937164463</v>
      </c>
      <c r="E55">
        <f>VLOOKUP(A55,'2015'!$B$2:$H$122,7,FALSE)/100</f>
        <v>0.875</v>
      </c>
      <c r="I55" t="s">
        <v>216</v>
      </c>
      <c r="J55" t="s">
        <v>217</v>
      </c>
      <c r="M55" t="s">
        <v>216</v>
      </c>
      <c r="N55" t="s">
        <v>217</v>
      </c>
      <c r="O55">
        <v>64009.317104546441</v>
      </c>
    </row>
    <row r="56" spans="1:15" x14ac:dyDescent="0.45">
      <c r="A56" t="s">
        <v>88</v>
      </c>
      <c r="B56">
        <f>VLOOKUP(A56,$I$3:$K$268,3,FALSE)</f>
        <v>155941.28821079066</v>
      </c>
      <c r="C56">
        <f>VLOOKUP(A56,'2025'!$B$2:$H$105,7,FALSE)/100</f>
        <v>0.58700000000000008</v>
      </c>
      <c r="D56">
        <f t="shared" si="0"/>
        <v>107859.68599930758</v>
      </c>
      <c r="E56">
        <f>VLOOKUP(A56,'2015'!$B$2:$H$122,7,FALSE)/100</f>
        <v>0.504</v>
      </c>
      <c r="I56" t="s">
        <v>93</v>
      </c>
      <c r="J56" t="s">
        <v>218</v>
      </c>
      <c r="K56">
        <v>62312.07421875</v>
      </c>
      <c r="M56" t="s">
        <v>93</v>
      </c>
      <c r="N56" t="s">
        <v>218</v>
      </c>
      <c r="O56">
        <v>29315.724609375</v>
      </c>
    </row>
    <row r="57" spans="1:15" x14ac:dyDescent="0.45">
      <c r="A57" t="s">
        <v>87</v>
      </c>
      <c r="B57">
        <f>VLOOKUP(A57,$I$3:$K$268,3,FALSE)</f>
        <v>38779.283044225274</v>
      </c>
      <c r="C57">
        <f>VLOOKUP(A57,'2025'!$B$2:$H$105,7,FALSE)/100</f>
        <v>0.6409999999999999</v>
      </c>
      <c r="D57">
        <f t="shared" si="0"/>
        <v>24526.394271601155</v>
      </c>
      <c r="E57">
        <f>VLOOKUP(A57,'2015'!$B$2:$H$122,7,FALSE)/100</f>
        <v>0.64800000000000002</v>
      </c>
      <c r="I57" t="s">
        <v>219</v>
      </c>
      <c r="J57" t="s">
        <v>220</v>
      </c>
      <c r="K57">
        <v>57285.423700137915</v>
      </c>
      <c r="M57" t="s">
        <v>219</v>
      </c>
      <c r="N57" t="s">
        <v>220</v>
      </c>
      <c r="O57">
        <v>34093.028059374767</v>
      </c>
    </row>
    <row r="58" spans="1:15" x14ac:dyDescent="0.45">
      <c r="A58" t="s">
        <v>72</v>
      </c>
      <c r="B58">
        <f>VLOOKUP(A58,$I$3:$K$268,3,FALSE)</f>
        <v>71017.774425871685</v>
      </c>
      <c r="C58">
        <f>VLOOKUP(A58,'2025'!$B$2:$H$105,7,FALSE)/100</f>
        <v>0.86099999999999999</v>
      </c>
      <c r="D58">
        <f t="shared" si="0"/>
        <v>35844.478646050586</v>
      </c>
      <c r="E58">
        <f>VLOOKUP(A58,'2015'!$B$2:$H$122,7,FALSE)/100</f>
        <v>0.498</v>
      </c>
      <c r="I58" t="s">
        <v>85</v>
      </c>
      <c r="J58" t="s">
        <v>221</v>
      </c>
      <c r="K58">
        <v>73551.934769683605</v>
      </c>
      <c r="M58" t="s">
        <v>85</v>
      </c>
      <c r="N58" t="s">
        <v>221</v>
      </c>
      <c r="O58">
        <v>48545.40072196204</v>
      </c>
    </row>
    <row r="59" spans="1:15" x14ac:dyDescent="0.45">
      <c r="A59" t="s">
        <v>25</v>
      </c>
      <c r="B59">
        <f>VLOOKUP(A59,$I$3:$K$268,3,FALSE)</f>
        <v>31839.759753552396</v>
      </c>
      <c r="C59">
        <f>VLOOKUP(A59,'2025'!$B$2:$H$105,7,FALSE)/100</f>
        <v>1.5919999999999999</v>
      </c>
      <c r="D59">
        <f t="shared" si="0"/>
        <v>20269.523509561048</v>
      </c>
      <c r="E59">
        <f>VLOOKUP(A59,'2015'!$B$2:$H$122,7,FALSE)/100</f>
        <v>2.2880000000000003</v>
      </c>
      <c r="I59" t="s">
        <v>222</v>
      </c>
      <c r="J59" t="s">
        <v>223</v>
      </c>
      <c r="K59">
        <v>7810.2786906679185</v>
      </c>
      <c r="M59" t="s">
        <v>222</v>
      </c>
      <c r="N59" t="s">
        <v>223</v>
      </c>
      <c r="O59">
        <v>4263.9628889045543</v>
      </c>
    </row>
    <row r="60" spans="1:15" x14ac:dyDescent="0.45">
      <c r="A60" t="s">
        <v>69</v>
      </c>
      <c r="B60">
        <f>VLOOKUP(A60,$I$3:$K$268,3,FALSE)</f>
        <v>26185.356471325278</v>
      </c>
      <c r="C60">
        <f>VLOOKUP(A60,'2025'!$B$2:$H$105,7,FALSE)/100</f>
        <v>1.5</v>
      </c>
      <c r="D60">
        <f t="shared" si="0"/>
        <v>19071.444419646581</v>
      </c>
      <c r="E60">
        <f>VLOOKUP(A60,'2015'!$B$2:$H$122,7,FALSE)/100</f>
        <v>0.77300000000000002</v>
      </c>
      <c r="I60" t="s">
        <v>224</v>
      </c>
      <c r="J60" t="s">
        <v>225</v>
      </c>
      <c r="K60">
        <v>21300.684869808898</v>
      </c>
      <c r="M60" t="s">
        <v>224</v>
      </c>
      <c r="N60" t="s">
        <v>225</v>
      </c>
      <c r="O60">
        <v>12092.731599267632</v>
      </c>
    </row>
    <row r="61" spans="1:15" x14ac:dyDescent="0.45">
      <c r="A61" t="s">
        <v>52</v>
      </c>
      <c r="B61">
        <f>VLOOKUP(A61,$I$3:$K$268,3,FALSE)</f>
        <v>18614.988069120322</v>
      </c>
      <c r="C61">
        <f>VLOOKUP(A61,'2025'!$B$2:$H$105,7,FALSE)/100</f>
        <v>1.4950000000000001</v>
      </c>
      <c r="D61">
        <f t="shared" si="0"/>
        <v>9197.6183820427232</v>
      </c>
      <c r="E61">
        <f>VLOOKUP(A61,'2015'!$B$2:$H$122,7,FALSE)/100</f>
        <v>2.673</v>
      </c>
      <c r="I61" t="s">
        <v>106</v>
      </c>
      <c r="J61" t="s">
        <v>226</v>
      </c>
      <c r="K61">
        <v>81878.234984918134</v>
      </c>
      <c r="M61" t="s">
        <v>106</v>
      </c>
      <c r="N61" t="s">
        <v>226</v>
      </c>
      <c r="O61">
        <v>48897.209977661121</v>
      </c>
    </row>
    <row r="62" spans="1:15" x14ac:dyDescent="0.45">
      <c r="A62" t="s">
        <v>58</v>
      </c>
      <c r="B62">
        <f>VLOOKUP(A62,$I$3:$K$268,3,FALSE)</f>
        <v>34806.948319581694</v>
      </c>
      <c r="C62">
        <f>VLOOKUP(A62,'2025'!$B$2:$H$105,7,FALSE)/100</f>
        <v>1.097</v>
      </c>
      <c r="D62">
        <f t="shared" si="0"/>
        <v>15033.061265649618</v>
      </c>
      <c r="E62">
        <f>VLOOKUP(A62,'2015'!$B$2:$H$122,7,FALSE)/100</f>
        <v>1.702</v>
      </c>
      <c r="I62" t="s">
        <v>32</v>
      </c>
      <c r="J62" t="s">
        <v>227</v>
      </c>
      <c r="K62">
        <v>27541.662528338416</v>
      </c>
      <c r="M62" t="s">
        <v>32</v>
      </c>
      <c r="N62" t="s">
        <v>227</v>
      </c>
      <c r="O62">
        <v>14804.097406965937</v>
      </c>
    </row>
    <row r="63" spans="1:15" x14ac:dyDescent="0.45">
      <c r="A63" t="s">
        <v>51</v>
      </c>
      <c r="B63">
        <f>VLOOKUP(A63,$I$3:$K$268,3,FALSE)</f>
        <v>10415.1240234375</v>
      </c>
      <c r="C63">
        <f>VLOOKUP(A63,'2025'!$B$2:$H$105,7,FALSE)/100</f>
        <v>1.0580000000000001</v>
      </c>
      <c r="D63">
        <f t="shared" si="0"/>
        <v>7799.09228515625</v>
      </c>
      <c r="E63">
        <f>VLOOKUP(A63,'2015'!$B$2:$H$122,7,FALSE)/100</f>
        <v>1.36</v>
      </c>
      <c r="I63" t="s">
        <v>31</v>
      </c>
      <c r="J63" t="s">
        <v>228</v>
      </c>
      <c r="K63">
        <v>17620.742395612582</v>
      </c>
      <c r="M63" t="s">
        <v>31</v>
      </c>
      <c r="N63" t="s">
        <v>228</v>
      </c>
      <c r="O63">
        <v>13807.351584147766</v>
      </c>
    </row>
    <row r="64" spans="1:15" x14ac:dyDescent="0.45">
      <c r="A64" t="s">
        <v>14</v>
      </c>
      <c r="B64">
        <f>VLOOKUP(A64,$I$3:$K$268,3,FALSE)</f>
        <v>5736.6213433270359</v>
      </c>
      <c r="C64">
        <f>VLOOKUP(A64,'2025'!$B$2:$H$105,7,FALSE)/100</f>
        <v>4.4740000000000002</v>
      </c>
      <c r="D64">
        <f t="shared" si="0"/>
        <v>2957.3055914550432</v>
      </c>
      <c r="E64">
        <f>VLOOKUP(A64,'2015'!$B$2:$H$122,7,FALSE)/100</f>
        <v>2.5739999999999998</v>
      </c>
      <c r="I64" t="s">
        <v>229</v>
      </c>
      <c r="J64" t="s">
        <v>230</v>
      </c>
      <c r="K64">
        <v>23248.02517943682</v>
      </c>
      <c r="M64" t="s">
        <v>229</v>
      </c>
      <c r="N64" t="s">
        <v>230</v>
      </c>
      <c r="O64">
        <v>12146.381246446037</v>
      </c>
    </row>
    <row r="65" spans="1:15" x14ac:dyDescent="0.45">
      <c r="A65" t="s">
        <v>97</v>
      </c>
      <c r="B65">
        <f>VLOOKUP(A65,$I$3:$K$268,3,FALSE)</f>
        <v>86173.629084173808</v>
      </c>
      <c r="C65">
        <f>VLOOKUP(A65,'2025'!$B$2:$H$105,7,FALSE)/100</f>
        <v>0.57200000000000006</v>
      </c>
      <c r="D65">
        <f t="shared" si="0"/>
        <v>50956.693094218521</v>
      </c>
      <c r="E65">
        <f>VLOOKUP(A65,'2015'!$B$2:$H$122,7,FALSE)/100</f>
        <v>0.46100000000000002</v>
      </c>
      <c r="I65" t="s">
        <v>231</v>
      </c>
      <c r="J65" t="s">
        <v>232</v>
      </c>
      <c r="K65">
        <v>13995.405557695189</v>
      </c>
      <c r="M65" t="s">
        <v>231</v>
      </c>
      <c r="N65" t="s">
        <v>232</v>
      </c>
      <c r="O65">
        <v>8319.9135152490362</v>
      </c>
    </row>
    <row r="66" spans="1:15" x14ac:dyDescent="0.45">
      <c r="A66" t="s">
        <v>98</v>
      </c>
      <c r="B66">
        <f>VLOOKUP(A66,$I$3:$K$268,3,FALSE)</f>
        <v>55551.143658637026</v>
      </c>
      <c r="C66">
        <f>VLOOKUP(A66,'2025'!$B$2:$H$105,7,FALSE)/100</f>
        <v>0.67</v>
      </c>
      <c r="D66">
        <f t="shared" si="0"/>
        <v>37513.296387244161</v>
      </c>
      <c r="E66">
        <f>VLOOKUP(A66,'2015'!$B$2:$H$122,7,FALSE)/100</f>
        <v>0.49099999999999999</v>
      </c>
      <c r="I66" t="s">
        <v>233</v>
      </c>
      <c r="J66" t="s">
        <v>234</v>
      </c>
      <c r="K66">
        <v>27285.211234999329</v>
      </c>
      <c r="M66" t="s">
        <v>233</v>
      </c>
      <c r="N66" t="s">
        <v>234</v>
      </c>
      <c r="O66">
        <v>15476.316987781853</v>
      </c>
    </row>
    <row r="67" spans="1:15" x14ac:dyDescent="0.45">
      <c r="A67" t="s">
        <v>64</v>
      </c>
      <c r="B67">
        <f>VLOOKUP(A67,$I$3:$K$268,3,FALSE)</f>
        <v>26986.568596749126</v>
      </c>
      <c r="C67">
        <f>VLOOKUP(A67,'2025'!$B$2:$H$105,7,FALSE)/100</f>
        <v>0.96499999999999997</v>
      </c>
      <c r="D67">
        <f t="shared" si="0"/>
        <v>14045.071137177483</v>
      </c>
      <c r="E67">
        <f>VLOOKUP(A67,'2015'!$B$2:$H$122,7,FALSE)/100</f>
        <v>1.4809999999999999</v>
      </c>
      <c r="I67" t="s">
        <v>235</v>
      </c>
      <c r="J67" t="s">
        <v>236</v>
      </c>
      <c r="K67">
        <v>29316.460381090434</v>
      </c>
      <c r="M67" t="s">
        <v>235</v>
      </c>
      <c r="N67" t="s">
        <v>236</v>
      </c>
      <c r="O67">
        <v>16016.953479919377</v>
      </c>
    </row>
    <row r="68" spans="1:15" x14ac:dyDescent="0.45">
      <c r="A68" t="s">
        <v>92</v>
      </c>
      <c r="B68">
        <f>VLOOKUP(A68,$I$3:$K$268,3,FALSE)</f>
        <v>102037.52680023712</v>
      </c>
      <c r="C68">
        <f>VLOOKUP(A68,'2025'!$B$2:$H$105,7,FALSE)/100</f>
        <v>0.629</v>
      </c>
      <c r="D68">
        <f t="shared" ref="D68:D98" si="1">VLOOKUP(A68,$M$3:$O$268,3,FALSE)</f>
        <v>60737.886813277903</v>
      </c>
      <c r="E68">
        <f>VLOOKUP(A68,'2015'!$B$2:$H$122,7,FALSE)/100</f>
        <v>0.54700000000000004</v>
      </c>
      <c r="I68" t="s">
        <v>237</v>
      </c>
      <c r="J68" t="s">
        <v>238</v>
      </c>
      <c r="K68">
        <v>52469.957061641653</v>
      </c>
      <c r="M68" t="s">
        <v>237</v>
      </c>
      <c r="N68" t="s">
        <v>238</v>
      </c>
      <c r="O68">
        <v>30970.511094859947</v>
      </c>
    </row>
    <row r="69" spans="1:15" x14ac:dyDescent="0.45">
      <c r="A69" t="s">
        <v>111</v>
      </c>
      <c r="B69">
        <f>VLOOKUP(A69,$I$3:$K$268,3,FALSE)</f>
        <v>41740.16585300117</v>
      </c>
      <c r="C69">
        <f>VLOOKUP(A69,'2025'!$B$2:$H$105,7,FALSE)/100</f>
        <v>0.24600000000000002</v>
      </c>
      <c r="D69">
        <f t="shared" si="1"/>
        <v>36058.166608478794</v>
      </c>
      <c r="E69">
        <f>VLOOKUP(A69,'2015'!$B$2:$H$122,7,FALSE)/100</f>
        <v>0.30299999999999999</v>
      </c>
      <c r="I69" t="s">
        <v>68</v>
      </c>
      <c r="J69" t="s">
        <v>239</v>
      </c>
      <c r="K69">
        <v>15840.266856741184</v>
      </c>
      <c r="M69" t="s">
        <v>68</v>
      </c>
      <c r="N69" t="s">
        <v>239</v>
      </c>
      <c r="O69">
        <v>10877.750746138814</v>
      </c>
    </row>
    <row r="70" spans="1:15" x14ac:dyDescent="0.45">
      <c r="A70" t="s">
        <v>43</v>
      </c>
      <c r="B70">
        <f>VLOOKUP(A70,$I$3:$K$268,3,FALSE)</f>
        <v>6252.1154319955858</v>
      </c>
      <c r="C70">
        <f>VLOOKUP(A70,'2025'!$B$2:$H$105,7,FALSE)/100</f>
        <v>2.9260000000000002</v>
      </c>
      <c r="D70">
        <f t="shared" si="1"/>
        <v>4480.2631346098487</v>
      </c>
      <c r="E70">
        <f>VLOOKUP(A70,'2015'!$B$2:$H$122,7,FALSE)/100</f>
        <v>2.1819999999999999</v>
      </c>
      <c r="I70" t="s">
        <v>240</v>
      </c>
      <c r="J70" t="s">
        <v>241</v>
      </c>
      <c r="K70">
        <v>19094.144944411131</v>
      </c>
      <c r="M70" t="s">
        <v>240</v>
      </c>
      <c r="N70" t="s">
        <v>241</v>
      </c>
      <c r="O70">
        <v>10903.336823118485</v>
      </c>
    </row>
    <row r="71" spans="1:15" x14ac:dyDescent="0.45">
      <c r="A71" t="s">
        <v>73</v>
      </c>
      <c r="B71">
        <f>VLOOKUP(A71,$I$3:$K$268,3,FALSE)</f>
        <v>41369.422541498956</v>
      </c>
      <c r="C71">
        <f>VLOOKUP(A71,'2025'!$B$2:$H$105,7,FALSE)/100</f>
        <v>0.98799999999999999</v>
      </c>
      <c r="D71">
        <f t="shared" si="1"/>
        <v>27245.278840263127</v>
      </c>
      <c r="E71">
        <f>VLOOKUP(A71,'2015'!$B$2:$H$122,7,FALSE)/100</f>
        <v>0.88800000000000001</v>
      </c>
      <c r="I71" t="s">
        <v>242</v>
      </c>
      <c r="J71" t="s">
        <v>243</v>
      </c>
      <c r="K71">
        <v>66098.010886427539</v>
      </c>
      <c r="M71" t="s">
        <v>242</v>
      </c>
      <c r="N71" t="s">
        <v>243</v>
      </c>
      <c r="O71">
        <v>41183.560322644589</v>
      </c>
    </row>
    <row r="72" spans="1:15" x14ac:dyDescent="0.45">
      <c r="A72" t="s">
        <v>26</v>
      </c>
      <c r="B72">
        <f>VLOOKUP(A72,$I$3:$K$268,3,FALSE)</f>
        <v>17802.418249897237</v>
      </c>
      <c r="C72">
        <f>VLOOKUP(A72,'2025'!$B$2:$H$105,7,FALSE)/100</f>
        <v>2.1840000000000002</v>
      </c>
      <c r="D72">
        <f t="shared" si="1"/>
        <v>11600.387399286728</v>
      </c>
      <c r="E72">
        <f>VLOOKUP(A72,'2015'!$B$2:$H$122,7,FALSE)/100</f>
        <v>1.8980000000000001</v>
      </c>
      <c r="I72" t="s">
        <v>244</v>
      </c>
      <c r="J72" t="s">
        <v>245</v>
      </c>
      <c r="M72" t="s">
        <v>244</v>
      </c>
      <c r="N72" t="s">
        <v>245</v>
      </c>
    </row>
    <row r="73" spans="1:15" x14ac:dyDescent="0.45">
      <c r="A73" t="s">
        <v>20</v>
      </c>
      <c r="B73">
        <f>VLOOKUP(A73,$I$3:$K$268,3,FALSE)</f>
        <v>11794.137548849178</v>
      </c>
      <c r="C73">
        <f>VLOOKUP(A73,'2025'!$B$2:$H$105,7,FALSE)/100</f>
        <v>2.1150000000000002</v>
      </c>
      <c r="D73">
        <f t="shared" si="1"/>
        <v>6894.2670221793451</v>
      </c>
      <c r="E73">
        <f>VLOOKUP(A73,'2015'!$B$2:$H$122,7,FALSE)/100</f>
        <v>1.986</v>
      </c>
      <c r="I73" t="s">
        <v>90</v>
      </c>
      <c r="J73" t="s">
        <v>246</v>
      </c>
      <c r="K73">
        <v>57965.294813883731</v>
      </c>
      <c r="M73" t="s">
        <v>90</v>
      </c>
      <c r="N73" t="s">
        <v>246</v>
      </c>
      <c r="O73">
        <v>35228.6333036223</v>
      </c>
    </row>
    <row r="74" spans="1:15" x14ac:dyDescent="0.45">
      <c r="A74" t="s">
        <v>74</v>
      </c>
      <c r="B74">
        <f>VLOOKUP(A74,$I$3:$K$268,3,FALSE)</f>
        <v>51262.510575688393</v>
      </c>
      <c r="C74">
        <f>VLOOKUP(A74,'2025'!$B$2:$H$105,7,FALSE)/100</f>
        <v>1.0209999999999999</v>
      </c>
      <c r="D74">
        <f t="shared" si="1"/>
        <v>26988.1069013509</v>
      </c>
      <c r="E74">
        <f>VLOOKUP(A74,'2015'!$B$2:$H$122,7,FALSE)/100</f>
        <v>0.83099999999999996</v>
      </c>
      <c r="I74" t="s">
        <v>71</v>
      </c>
      <c r="J74" t="s">
        <v>247</v>
      </c>
      <c r="K74">
        <v>49968.710827837298</v>
      </c>
      <c r="M74" t="s">
        <v>71</v>
      </c>
      <c r="N74" t="s">
        <v>247</v>
      </c>
      <c r="O74">
        <v>29712.629947372814</v>
      </c>
    </row>
    <row r="75" spans="1:15" x14ac:dyDescent="0.45">
      <c r="A75" t="s">
        <v>41</v>
      </c>
      <c r="B75">
        <f>VLOOKUP(A75,$I$3:$K$268,3,FALSE)</f>
        <v>51679.888380752695</v>
      </c>
      <c r="C75">
        <f>VLOOKUP(A75,'2025'!$B$2:$H$105,7,FALSE)/100</f>
        <v>1.155</v>
      </c>
      <c r="D75">
        <f t="shared" si="1"/>
        <v>29608.007151395595</v>
      </c>
      <c r="E75">
        <f>VLOOKUP(A75,'2015'!$B$2:$H$122,7,FALSE)/100</f>
        <v>0.61899999999999999</v>
      </c>
      <c r="I75" t="s">
        <v>11</v>
      </c>
      <c r="J75" t="s">
        <v>248</v>
      </c>
      <c r="K75">
        <v>3287.5349215889282</v>
      </c>
      <c r="M75" t="s">
        <v>11</v>
      </c>
      <c r="N75" t="s">
        <v>248</v>
      </c>
      <c r="O75">
        <v>1632.6181800683673</v>
      </c>
    </row>
    <row r="76" spans="1:15" x14ac:dyDescent="0.45">
      <c r="A76" t="s">
        <v>107</v>
      </c>
      <c r="B76">
        <f>VLOOKUP(A76,$I$3:$K$268,3,FALSE)</f>
        <v>126046.35485561157</v>
      </c>
      <c r="C76">
        <f>VLOOKUP(A76,'2025'!$B$2:$H$105,7,FALSE)/100</f>
        <v>0.42200000000000004</v>
      </c>
      <c r="D76">
        <f t="shared" si="1"/>
        <v>102545.86329127896</v>
      </c>
      <c r="E76">
        <f>VLOOKUP(A76,'2015'!$B$2:$H$122,7,FALSE)/100</f>
        <v>0.51700000000000002</v>
      </c>
      <c r="I76" t="s">
        <v>249</v>
      </c>
      <c r="J76" t="s">
        <v>250</v>
      </c>
      <c r="K76">
        <v>63610.227392985733</v>
      </c>
      <c r="M76" t="s">
        <v>249</v>
      </c>
      <c r="N76" t="s">
        <v>250</v>
      </c>
      <c r="O76">
        <v>38444.682320202373</v>
      </c>
    </row>
    <row r="77" spans="1:15" x14ac:dyDescent="0.45">
      <c r="A77" t="s">
        <v>78</v>
      </c>
      <c r="B77">
        <f>VLOOKUP(A77,$I$3:$K$268,3,FALSE)</f>
        <v>49558.668912013651</v>
      </c>
      <c r="C77">
        <f>VLOOKUP(A77,'2025'!$B$2:$H$105,7,FALSE)/100</f>
        <v>0.95200000000000007</v>
      </c>
      <c r="D77">
        <f t="shared" si="1"/>
        <v>20201.858456166166</v>
      </c>
      <c r="E77">
        <f>VLOOKUP(A77,'2015'!$B$2:$H$122,7,FALSE)/100</f>
        <v>1.0900000000000001</v>
      </c>
      <c r="I77" t="s">
        <v>251</v>
      </c>
      <c r="J77" t="s">
        <v>252</v>
      </c>
      <c r="K77">
        <v>6394.5659133094523</v>
      </c>
      <c r="M77" t="s">
        <v>251</v>
      </c>
      <c r="N77" t="s">
        <v>252</v>
      </c>
      <c r="O77">
        <v>4942.5257901881205</v>
      </c>
    </row>
    <row r="78" spans="1:15" hidden="1" x14ac:dyDescent="0.45">
      <c r="A78" t="s">
        <v>451</v>
      </c>
      <c r="B78">
        <f>VLOOKUP(A78,$I$3:$K$268,3,FALSE)</f>
        <v>47404.96484375</v>
      </c>
      <c r="C78" t="e">
        <f>VLOOKUP(A78,'2025'!$B$2:$H$105,7,FALSE)/100</f>
        <v>#N/A</v>
      </c>
      <c r="D78">
        <f t="shared" si="1"/>
        <v>23994.013671875</v>
      </c>
      <c r="E78" t="e">
        <f>VLOOKUP(A78,'2015'!$B$2:$H$122,7,FALSE)/100</f>
        <v>#N/A</v>
      </c>
      <c r="I78" t="s">
        <v>95</v>
      </c>
      <c r="J78" t="s">
        <v>253</v>
      </c>
      <c r="K78">
        <v>65378.384185972063</v>
      </c>
      <c r="M78" t="s">
        <v>95</v>
      </c>
      <c r="N78" t="s">
        <v>253</v>
      </c>
      <c r="O78">
        <v>42257.859379129681</v>
      </c>
    </row>
    <row r="79" spans="1:15" x14ac:dyDescent="0.45">
      <c r="A79" t="s">
        <v>112</v>
      </c>
      <c r="B79">
        <f>VLOOKUP(A79,$I$3:$K$268,3,FALSE)</f>
        <v>71375.372789028523</v>
      </c>
      <c r="C79">
        <f>VLOOKUP(A79,'2025'!$B$2:$H$105,7,FALSE)/100</f>
        <v>0.24</v>
      </c>
      <c r="D79">
        <f t="shared" si="1"/>
        <v>53930.827387262187</v>
      </c>
      <c r="E79">
        <f>VLOOKUP(A79,'2015'!$B$2:$H$122,7,FALSE)/100</f>
        <v>0.23499999999999999</v>
      </c>
      <c r="I79" t="s">
        <v>254</v>
      </c>
      <c r="J79" t="s">
        <v>255</v>
      </c>
      <c r="K79">
        <v>15450.299326538776</v>
      </c>
      <c r="M79" t="s">
        <v>254</v>
      </c>
      <c r="N79" t="s">
        <v>255</v>
      </c>
      <c r="O79">
        <v>11519.301218732413</v>
      </c>
    </row>
    <row r="80" spans="1:15" x14ac:dyDescent="0.45">
      <c r="A80" t="s">
        <v>33</v>
      </c>
      <c r="B80">
        <f>VLOOKUP(A80,$I$3:$K$268,3,FALSE)</f>
        <v>32781.014241203149</v>
      </c>
      <c r="C80">
        <f>VLOOKUP(A80,'2025'!$B$2:$H$105,7,FALSE)/100</f>
        <v>1.4650000000000001</v>
      </c>
      <c r="D80">
        <f t="shared" si="1"/>
        <v>14523.53903407022</v>
      </c>
      <c r="E80">
        <f>VLOOKUP(A80,'2015'!$B$2:$H$122,7,FALSE)/100</f>
        <v>1.5530000000000002</v>
      </c>
      <c r="I80" t="s">
        <v>80</v>
      </c>
      <c r="J80" t="s">
        <v>256</v>
      </c>
      <c r="K80">
        <v>62556.918104540004</v>
      </c>
      <c r="M80" t="s">
        <v>80</v>
      </c>
      <c r="N80" t="s">
        <v>256</v>
      </c>
      <c r="O80">
        <v>40905.17677509936</v>
      </c>
    </row>
    <row r="81" spans="1:15" x14ac:dyDescent="0.45">
      <c r="A81" t="s">
        <v>19</v>
      </c>
      <c r="B81">
        <f>VLOOKUP(A81,$I$3:$K$268,3,FALSE)</f>
        <v>150689.30162582558</v>
      </c>
      <c r="C81">
        <f>VLOOKUP(A81,'2025'!$B$2:$H$105,7,FALSE)/100</f>
        <v>1.5840000000000001</v>
      </c>
      <c r="D81">
        <f t="shared" si="1"/>
        <v>87156.187383315017</v>
      </c>
      <c r="E81">
        <f>VLOOKUP(A81,'2015'!$B$2:$H$122,7,FALSE)/100</f>
        <v>1.3330000000000002</v>
      </c>
      <c r="I81" t="s">
        <v>257</v>
      </c>
      <c r="J81" t="s">
        <v>258</v>
      </c>
      <c r="K81">
        <v>81908.778178501758</v>
      </c>
      <c r="M81" t="s">
        <v>257</v>
      </c>
      <c r="N81" t="s">
        <v>258</v>
      </c>
      <c r="O81">
        <v>53684.367165346281</v>
      </c>
    </row>
    <row r="82" spans="1:15" hidden="1" x14ac:dyDescent="0.45">
      <c r="A82" t="s">
        <v>485</v>
      </c>
      <c r="B82">
        <f>VLOOKUP(A82,$I$3:$K$268,3,FALSE)</f>
        <v>48132.356430542954</v>
      </c>
      <c r="C82" t="e">
        <f>VLOOKUP(A82,'2025'!$B$2:$H$105,7,FALSE)/100</f>
        <v>#N/A</v>
      </c>
      <c r="D82">
        <f t="shared" si="1"/>
        <v>30147.99036725414</v>
      </c>
      <c r="E82" t="e">
        <f>VLOOKUP(A82,'2015'!$B$2:$H$122,7,FALSE)/100</f>
        <v>#N/A</v>
      </c>
      <c r="I82" t="s">
        <v>259</v>
      </c>
      <c r="J82" t="s">
        <v>260</v>
      </c>
      <c r="K82">
        <v>4346.842496718753</v>
      </c>
      <c r="M82" t="s">
        <v>259</v>
      </c>
      <c r="N82" t="s">
        <v>260</v>
      </c>
      <c r="O82">
        <v>3288.9216066927529</v>
      </c>
    </row>
    <row r="83" spans="1:15" x14ac:dyDescent="0.45">
      <c r="A83" t="s">
        <v>55</v>
      </c>
      <c r="B83">
        <f>VLOOKUP(A83,$I$3:$K$268,3,FALSE)</f>
        <v>57186.371353817427</v>
      </c>
      <c r="C83">
        <f>VLOOKUP(A83,'2025'!$B$2:$H$105,7,FALSE)/100</f>
        <v>0.94</v>
      </c>
      <c r="D83">
        <f t="shared" si="1"/>
        <v>31336.204385888104</v>
      </c>
      <c r="E83">
        <f>VLOOKUP(A83,'2015'!$B$2:$H$122,7,FALSE)/100</f>
        <v>0.79599999999999993</v>
      </c>
      <c r="I83" t="s">
        <v>261</v>
      </c>
      <c r="J83" t="s">
        <v>262</v>
      </c>
      <c r="K83">
        <v>21510.172530734362</v>
      </c>
      <c r="M83" t="s">
        <v>261</v>
      </c>
      <c r="N83" t="s">
        <v>262</v>
      </c>
      <c r="O83">
        <v>14306.434076825177</v>
      </c>
    </row>
    <row r="84" spans="1:15" x14ac:dyDescent="0.45">
      <c r="A84" t="s">
        <v>110</v>
      </c>
      <c r="B84">
        <f>VLOOKUP(A84,$I$3:$K$268,3,FALSE)</f>
        <v>15456.19899336581</v>
      </c>
      <c r="C84">
        <f>VLOOKUP(A84,'2025'!$B$2:$H$105,7,FALSE)/100</f>
        <v>0.41600000000000004</v>
      </c>
      <c r="D84">
        <f t="shared" si="1"/>
        <v>13397.523481334631</v>
      </c>
      <c r="E84">
        <f>VLOOKUP(A84,'2015'!$B$2:$H$122,7,FALSE)/100</f>
        <v>0.33600000000000002</v>
      </c>
      <c r="I84" t="s">
        <v>86</v>
      </c>
      <c r="J84" t="s">
        <v>263</v>
      </c>
      <c r="K84">
        <v>62009.490776536586</v>
      </c>
      <c r="M84" t="s">
        <v>86</v>
      </c>
      <c r="N84" t="s">
        <v>263</v>
      </c>
      <c r="O84">
        <v>42515.278865824046</v>
      </c>
    </row>
    <row r="85" spans="1:15" x14ac:dyDescent="0.45">
      <c r="A85" t="s">
        <v>90</v>
      </c>
      <c r="B85">
        <f>VLOOKUP(A85,$I$3:$K$268,3,FALSE)</f>
        <v>57965.294813883731</v>
      </c>
      <c r="C85">
        <f>VLOOKUP(A85,'2025'!$B$2:$H$105,7,FALSE)/100</f>
        <v>0.59399999999999997</v>
      </c>
      <c r="D85">
        <f t="shared" si="1"/>
        <v>35228.6333036223</v>
      </c>
      <c r="E85">
        <f>VLOOKUP(A85,'2015'!$B$2:$H$122,7,FALSE)/100</f>
        <v>0.66400000000000003</v>
      </c>
      <c r="I85" t="s">
        <v>62</v>
      </c>
      <c r="J85" t="s">
        <v>264</v>
      </c>
      <c r="K85">
        <v>28285.073280298224</v>
      </c>
      <c r="M85" t="s">
        <v>62</v>
      </c>
      <c r="N85" t="s">
        <v>264</v>
      </c>
      <c r="O85">
        <v>12269.652893276785</v>
      </c>
    </row>
    <row r="86" spans="1:15" x14ac:dyDescent="0.45">
      <c r="A86" t="s">
        <v>13</v>
      </c>
      <c r="B86">
        <f>VLOOKUP(A86,$I$3:$K$268,3,FALSE)</f>
        <v>15632.592484984809</v>
      </c>
      <c r="C86">
        <f>VLOOKUP(A86,'2025'!$B$2:$H$105,7,FALSE)/100</f>
        <v>6.0350000000000001</v>
      </c>
      <c r="D86">
        <f t="shared" si="1"/>
        <v>12227.171484951274</v>
      </c>
      <c r="E86">
        <f>VLOOKUP(A86,'2015'!$B$2:$H$122,7,FALSE)/100</f>
        <v>2.2610000000000001</v>
      </c>
      <c r="I86" t="s">
        <v>116</v>
      </c>
      <c r="J86" t="s">
        <v>265</v>
      </c>
      <c r="K86">
        <v>8019.9970238961096</v>
      </c>
      <c r="M86" t="s">
        <v>116</v>
      </c>
      <c r="N86" t="s">
        <v>265</v>
      </c>
      <c r="O86">
        <v>5191.3705338965883</v>
      </c>
    </row>
    <row r="87" spans="1:15" x14ac:dyDescent="0.45">
      <c r="A87" t="s">
        <v>96</v>
      </c>
      <c r="B87">
        <f>VLOOKUP(A87,$I$3:$K$268,3,FALSE)</f>
        <v>71844.912988057898</v>
      </c>
      <c r="C87">
        <f>VLOOKUP(A87,'2025'!$B$2:$H$105,7,FALSE)/100</f>
        <v>0.58599999999999997</v>
      </c>
      <c r="D87">
        <f t="shared" si="1"/>
        <v>48772.069605727731</v>
      </c>
      <c r="E87">
        <f>VLOOKUP(A87,'2015'!$B$2:$H$122,7,FALSE)/100</f>
        <v>0.61899999999999999</v>
      </c>
      <c r="I87" t="s">
        <v>266</v>
      </c>
      <c r="J87" t="s">
        <v>267</v>
      </c>
      <c r="M87" t="s">
        <v>266</v>
      </c>
      <c r="N87" t="s">
        <v>267</v>
      </c>
    </row>
    <row r="88" spans="1:15" x14ac:dyDescent="0.45">
      <c r="A88" t="s">
        <v>75</v>
      </c>
      <c r="B88">
        <f>VLOOKUP(A88,$I$3:$K$268,3,FALSE)</f>
        <v>96497.694797132295</v>
      </c>
      <c r="C88">
        <f>VLOOKUP(A88,'2025'!$B$2:$H$105,7,FALSE)/100</f>
        <v>0.69599999999999995</v>
      </c>
      <c r="D88">
        <f t="shared" si="1"/>
        <v>65265.045733559971</v>
      </c>
      <c r="E88">
        <f>VLOOKUP(A88,'2015'!$B$2:$H$122,7,FALSE)/100</f>
        <v>0.44</v>
      </c>
      <c r="I88" t="s">
        <v>268</v>
      </c>
      <c r="J88" t="s">
        <v>269</v>
      </c>
      <c r="K88">
        <v>4565.3007888455968</v>
      </c>
      <c r="M88" t="s">
        <v>268</v>
      </c>
      <c r="N88" t="s">
        <v>269</v>
      </c>
      <c r="O88">
        <v>1929.6809133218671</v>
      </c>
    </row>
    <row r="89" spans="1:15" x14ac:dyDescent="0.45">
      <c r="A89" t="s">
        <v>18</v>
      </c>
      <c r="B89">
        <f>VLOOKUP(A89,$I$3:$K$268,3,FALSE)</f>
        <v>24712.06585751352</v>
      </c>
      <c r="C89">
        <f>VLOOKUP(A89,'2025'!$B$2:$H$105,7,FALSE)/100</f>
        <v>2.1339999999999999</v>
      </c>
      <c r="D89">
        <f t="shared" si="1"/>
        <v>15791.171476220708</v>
      </c>
      <c r="E89">
        <f>VLOOKUP(A89,'2015'!$B$2:$H$122,7,FALSE)/100</f>
        <v>1.7949999999999999</v>
      </c>
      <c r="I89" t="s">
        <v>270</v>
      </c>
      <c r="J89" t="s">
        <v>271</v>
      </c>
      <c r="K89">
        <v>3475.6124570134061</v>
      </c>
      <c r="M89" t="s">
        <v>270</v>
      </c>
      <c r="N89" t="s">
        <v>271</v>
      </c>
      <c r="O89">
        <v>1990.3162575097251</v>
      </c>
    </row>
    <row r="90" spans="1:15" x14ac:dyDescent="0.45">
      <c r="A90" t="s">
        <v>65</v>
      </c>
      <c r="B90">
        <f>VLOOKUP(A90,$I$3:$K$268,3,FALSE)</f>
        <v>14521.008093763836</v>
      </c>
      <c r="C90">
        <f>VLOOKUP(A90,'2025'!$B$2:$H$105,7,FALSE)/100</f>
        <v>1.5319999999999998</v>
      </c>
      <c r="D90">
        <f t="shared" si="1"/>
        <v>10782.543838244115</v>
      </c>
      <c r="E90">
        <f>VLOOKUP(A90,'2015'!$B$2:$H$122,7,FALSE)/100</f>
        <v>1.093</v>
      </c>
      <c r="I90" t="s">
        <v>272</v>
      </c>
      <c r="J90" t="s">
        <v>273</v>
      </c>
      <c r="K90">
        <v>3119.371570474374</v>
      </c>
      <c r="M90" t="s">
        <v>272</v>
      </c>
      <c r="N90" t="s">
        <v>273</v>
      </c>
      <c r="O90">
        <v>1729.9426031012326</v>
      </c>
    </row>
    <row r="91" spans="1:15" hidden="1" x14ac:dyDescent="0.45">
      <c r="A91" t="s">
        <v>527</v>
      </c>
      <c r="B91">
        <f>VLOOKUP(A91,$I$3:$K$268,3,FALSE)</f>
        <v>45639.019273594407</v>
      </c>
      <c r="C91" t="e">
        <f>VLOOKUP(A91,'2025'!$B$2:$H$105,7,FALSE)/100</f>
        <v>#N/A</v>
      </c>
      <c r="D91">
        <f t="shared" si="1"/>
        <v>25890.054890105785</v>
      </c>
      <c r="E91" t="e">
        <f>VLOOKUP(A91,'2015'!$B$2:$H$122,7,FALSE)/100</f>
        <v>#N/A</v>
      </c>
      <c r="I91" t="s">
        <v>274</v>
      </c>
      <c r="J91" t="s">
        <v>275</v>
      </c>
      <c r="K91">
        <v>17566.760028407287</v>
      </c>
      <c r="M91" t="s">
        <v>274</v>
      </c>
      <c r="N91" t="s">
        <v>275</v>
      </c>
      <c r="O91">
        <v>19478.701012333764</v>
      </c>
    </row>
    <row r="92" spans="1:15" x14ac:dyDescent="0.45">
      <c r="A92" t="s">
        <v>48</v>
      </c>
      <c r="B92">
        <f>VLOOKUP(A92,$I$3:$K$268,3,FALSE)</f>
        <v>18550.462890625</v>
      </c>
      <c r="C92">
        <f>VLOOKUP(A92,'2025'!$B$2:$H$105,7,FALSE)/100</f>
        <v>2.5329999999999999</v>
      </c>
      <c r="D92">
        <f t="shared" si="1"/>
        <v>9921.833984375</v>
      </c>
      <c r="E92">
        <f>VLOOKUP(A92,'2015'!$B$2:$H$122,7,FALSE)/100</f>
        <v>3.4930000000000003</v>
      </c>
      <c r="I92" t="s">
        <v>57</v>
      </c>
      <c r="J92" t="s">
        <v>276</v>
      </c>
      <c r="K92">
        <v>44327.209780827565</v>
      </c>
      <c r="M92" t="s">
        <v>57</v>
      </c>
      <c r="N92" t="s">
        <v>276</v>
      </c>
      <c r="O92">
        <v>26607.725679697571</v>
      </c>
    </row>
    <row r="93" spans="1:15" x14ac:dyDescent="0.45">
      <c r="A93" t="s">
        <v>100</v>
      </c>
      <c r="B93">
        <f>VLOOKUP(A93,$I$3:$K$268,3,FALSE)</f>
        <v>79228.73880127602</v>
      </c>
      <c r="C93">
        <f>VLOOKUP(A93,'2025'!$B$2:$H$105,7,FALSE)/100</f>
        <v>0.53900000000000003</v>
      </c>
      <c r="D93">
        <f t="shared" si="1"/>
        <v>73986.063639594504</v>
      </c>
      <c r="E93">
        <f>VLOOKUP(A93,'2015'!$B$2:$H$122,7,FALSE)/100</f>
        <v>0.499</v>
      </c>
      <c r="I93" t="s">
        <v>277</v>
      </c>
      <c r="J93" t="s">
        <v>278</v>
      </c>
      <c r="K93">
        <v>20177.809492738561</v>
      </c>
      <c r="M93" t="s">
        <v>277</v>
      </c>
      <c r="N93" t="s">
        <v>278</v>
      </c>
      <c r="O93">
        <v>13214.40966449406</v>
      </c>
    </row>
    <row r="94" spans="1:15" x14ac:dyDescent="0.45">
      <c r="A94" t="s">
        <v>86</v>
      </c>
      <c r="B94">
        <f>VLOOKUP(A94,$I$3:$K$268,3,FALSE)</f>
        <v>62009.490776536586</v>
      </c>
      <c r="C94">
        <f>VLOOKUP(A94,'2025'!$B$2:$H$105,7,FALSE)/100</f>
        <v>0.74199999999999999</v>
      </c>
      <c r="D94">
        <f t="shared" si="1"/>
        <v>42515.278865824046</v>
      </c>
      <c r="E94">
        <f>VLOOKUP(A94,'2015'!$B$2:$H$122,7,FALSE)/100</f>
        <v>0.63400000000000001</v>
      </c>
      <c r="I94" t="s">
        <v>279</v>
      </c>
      <c r="J94" t="s">
        <v>280</v>
      </c>
      <c r="M94" t="s">
        <v>279</v>
      </c>
      <c r="N94" t="s">
        <v>280</v>
      </c>
      <c r="O94">
        <v>55815.650288361154</v>
      </c>
    </row>
    <row r="95" spans="1:15" x14ac:dyDescent="0.45">
      <c r="A95" t="s">
        <v>109</v>
      </c>
      <c r="B95">
        <f>VLOOKUP(A95,$I$3:$K$268,3,FALSE)</f>
        <v>85809.900384635912</v>
      </c>
      <c r="C95">
        <f>VLOOKUP(A95,'2025'!$B$2:$H$105,7,FALSE)/100</f>
        <v>0.30099999999999999</v>
      </c>
      <c r="D95">
        <f t="shared" si="1"/>
        <v>56849.46979231594</v>
      </c>
      <c r="E95">
        <f>VLOOKUP(A95,'2015'!$B$2:$H$122,7,FALSE)/100</f>
        <v>0.19399999999999998</v>
      </c>
      <c r="I95" t="s">
        <v>124</v>
      </c>
      <c r="J95" t="s">
        <v>281</v>
      </c>
      <c r="K95">
        <v>14368.660568181482</v>
      </c>
      <c r="M95" t="s">
        <v>124</v>
      </c>
      <c r="N95" t="s">
        <v>281</v>
      </c>
      <c r="O95">
        <v>8934.0026117839625</v>
      </c>
    </row>
    <row r="96" spans="1:15" x14ac:dyDescent="0.45">
      <c r="A96" t="s">
        <v>54</v>
      </c>
      <c r="B96">
        <f>VLOOKUP(A96,$I$3:$K$268,3,FALSE)</f>
        <v>36417.874162496009</v>
      </c>
      <c r="C96">
        <f>VLOOKUP(A96,'2025'!$B$2:$H$105,7,FALSE)/100</f>
        <v>1.141</v>
      </c>
      <c r="D96">
        <f t="shared" si="1"/>
        <v>22168.611418967605</v>
      </c>
      <c r="E96">
        <f>VLOOKUP(A96,'2015'!$B$2:$H$122,7,FALSE)/100</f>
        <v>1.085</v>
      </c>
      <c r="I96" t="s">
        <v>282</v>
      </c>
      <c r="J96" t="s">
        <v>283</v>
      </c>
      <c r="M96" t="s">
        <v>282</v>
      </c>
      <c r="N96" t="s">
        <v>283</v>
      </c>
    </row>
    <row r="97" spans="1:15" x14ac:dyDescent="0.45">
      <c r="A97" t="s">
        <v>50</v>
      </c>
      <c r="B97">
        <f>VLOOKUP(A97,$I$3:$K$268,3,FALSE)</f>
        <v>11878.552870684822</v>
      </c>
      <c r="C97">
        <f>VLOOKUP(A97,'2025'!$B$2:$H$105,7,FALSE)/100</f>
        <v>3.077</v>
      </c>
      <c r="D97">
        <f t="shared" si="1"/>
        <v>6799.5733284218295</v>
      </c>
      <c r="E97">
        <f>VLOOKUP(A97,'2015'!$B$2:$H$122,7,FALSE)/100</f>
        <v>2.7749999999999999</v>
      </c>
      <c r="I97" t="s">
        <v>284</v>
      </c>
      <c r="J97" t="s">
        <v>285</v>
      </c>
      <c r="K97">
        <v>80155.039392769962</v>
      </c>
      <c r="M97" t="s">
        <v>284</v>
      </c>
      <c r="N97" t="s">
        <v>285</v>
      </c>
      <c r="O97">
        <v>11408.473901348996</v>
      </c>
    </row>
    <row r="98" spans="1:15" hidden="1" x14ac:dyDescent="0.45">
      <c r="A98" t="s">
        <v>547</v>
      </c>
      <c r="B98">
        <f>VLOOKUP(A98,$I$3:$K$268,3,FALSE)</f>
        <v>16385.506556545766</v>
      </c>
      <c r="C98" t="e">
        <f>VLOOKUP(A98,'2025'!$B$2:$H$105,7,FALSE)/100</f>
        <v>#N/A</v>
      </c>
      <c r="D98">
        <f t="shared" si="1"/>
        <v>7671.5819778083951</v>
      </c>
      <c r="E98" t="e">
        <f>VLOOKUP(A98,'2015'!$B$2:$H$122,7,FALSE)/100</f>
        <v>#N/A</v>
      </c>
      <c r="I98" t="s">
        <v>286</v>
      </c>
      <c r="J98" t="s">
        <v>287</v>
      </c>
      <c r="K98">
        <v>67051.677927341632</v>
      </c>
      <c r="M98" t="s">
        <v>286</v>
      </c>
      <c r="N98" t="s">
        <v>287</v>
      </c>
      <c r="O98">
        <v>43078.30508706758</v>
      </c>
    </row>
    <row r="99" spans="1:15" x14ac:dyDescent="0.45">
      <c r="I99" t="s">
        <v>288</v>
      </c>
      <c r="J99" t="s">
        <v>289</v>
      </c>
      <c r="K99">
        <v>75195.986597061506</v>
      </c>
      <c r="M99" t="s">
        <v>288</v>
      </c>
      <c r="N99" t="s">
        <v>289</v>
      </c>
      <c r="O99">
        <v>56043.042695697033</v>
      </c>
    </row>
    <row r="100" spans="1:15" x14ac:dyDescent="0.45">
      <c r="I100" t="s">
        <v>132</v>
      </c>
      <c r="J100" t="s">
        <v>290</v>
      </c>
      <c r="K100">
        <v>7486.0186961644476</v>
      </c>
      <c r="M100" t="s">
        <v>132</v>
      </c>
      <c r="N100" t="s">
        <v>290</v>
      </c>
      <c r="O100">
        <v>4845.5956652112545</v>
      </c>
    </row>
    <row r="101" spans="1:15" x14ac:dyDescent="0.45">
      <c r="I101" t="s">
        <v>291</v>
      </c>
      <c r="J101" t="s">
        <v>292</v>
      </c>
      <c r="K101">
        <v>3611.7625881397594</v>
      </c>
      <c r="M101" t="s">
        <v>291</v>
      </c>
      <c r="N101" t="s">
        <v>292</v>
      </c>
      <c r="O101">
        <v>2407.8225313523626</v>
      </c>
    </row>
    <row r="102" spans="1:15" x14ac:dyDescent="0.45">
      <c r="I102" t="s">
        <v>60</v>
      </c>
      <c r="J102" t="s">
        <v>293</v>
      </c>
      <c r="K102">
        <v>49645.745685441332</v>
      </c>
      <c r="M102" t="s">
        <v>60</v>
      </c>
      <c r="N102" t="s">
        <v>293</v>
      </c>
      <c r="O102">
        <v>22187.17739422802</v>
      </c>
    </row>
    <row r="103" spans="1:15" x14ac:dyDescent="0.45">
      <c r="I103" t="s">
        <v>294</v>
      </c>
      <c r="J103" t="s">
        <v>295</v>
      </c>
      <c r="K103">
        <v>3193.67136419915</v>
      </c>
      <c r="M103" t="s">
        <v>294</v>
      </c>
      <c r="N103" t="s">
        <v>295</v>
      </c>
      <c r="O103">
        <v>3025.8346172825841</v>
      </c>
    </row>
    <row r="104" spans="1:15" x14ac:dyDescent="0.45">
      <c r="I104" t="s">
        <v>56</v>
      </c>
      <c r="J104" t="s">
        <v>296</v>
      </c>
      <c r="K104">
        <v>48552.47080925294</v>
      </c>
      <c r="M104" t="s">
        <v>56</v>
      </c>
      <c r="N104" t="s">
        <v>296</v>
      </c>
      <c r="O104">
        <v>26937.732081886443</v>
      </c>
    </row>
    <row r="105" spans="1:15" x14ac:dyDescent="0.45">
      <c r="I105" t="s">
        <v>297</v>
      </c>
      <c r="J105" t="s">
        <v>298</v>
      </c>
      <c r="K105">
        <v>21126.945607657512</v>
      </c>
      <c r="M105" t="s">
        <v>297</v>
      </c>
      <c r="N105" t="s">
        <v>298</v>
      </c>
      <c r="O105">
        <v>11684.142588440573</v>
      </c>
    </row>
    <row r="106" spans="1:15" x14ac:dyDescent="0.45">
      <c r="I106" t="s">
        <v>299</v>
      </c>
      <c r="J106" t="s">
        <v>300</v>
      </c>
      <c r="K106">
        <v>16790.149404238873</v>
      </c>
      <c r="M106" t="s">
        <v>299</v>
      </c>
      <c r="N106" t="s">
        <v>300</v>
      </c>
      <c r="O106">
        <v>9673.0234232713537</v>
      </c>
    </row>
    <row r="107" spans="1:15" x14ac:dyDescent="0.45">
      <c r="I107" t="s">
        <v>301</v>
      </c>
      <c r="J107" t="s">
        <v>302</v>
      </c>
      <c r="K107">
        <v>5710.1446286105411</v>
      </c>
      <c r="M107" t="s">
        <v>301</v>
      </c>
      <c r="N107" t="s">
        <v>302</v>
      </c>
      <c r="O107">
        <v>3818.7109831016724</v>
      </c>
    </row>
    <row r="108" spans="1:15" x14ac:dyDescent="0.45">
      <c r="I108" t="s">
        <v>303</v>
      </c>
      <c r="J108" t="s">
        <v>304</v>
      </c>
      <c r="K108">
        <v>7631.6228519561664</v>
      </c>
      <c r="M108" t="s">
        <v>303</v>
      </c>
      <c r="N108" t="s">
        <v>304</v>
      </c>
      <c r="O108">
        <v>5466.8623375678808</v>
      </c>
    </row>
    <row r="109" spans="1:15" x14ac:dyDescent="0.45">
      <c r="I109" t="s">
        <v>40</v>
      </c>
      <c r="J109" t="s">
        <v>305</v>
      </c>
      <c r="K109">
        <v>16448.275517955855</v>
      </c>
      <c r="M109" t="s">
        <v>40</v>
      </c>
      <c r="N109" t="s">
        <v>305</v>
      </c>
      <c r="O109">
        <v>10027.537299602549</v>
      </c>
    </row>
    <row r="110" spans="1:15" x14ac:dyDescent="0.45">
      <c r="I110" t="s">
        <v>306</v>
      </c>
      <c r="J110" t="s">
        <v>307</v>
      </c>
      <c r="K110">
        <v>4697.5614220310454</v>
      </c>
      <c r="M110" t="s">
        <v>306</v>
      </c>
      <c r="N110" t="s">
        <v>307</v>
      </c>
      <c r="O110">
        <v>2917.5410740658754</v>
      </c>
    </row>
    <row r="111" spans="1:15" x14ac:dyDescent="0.45">
      <c r="I111" t="s">
        <v>308</v>
      </c>
      <c r="J111" t="s">
        <v>309</v>
      </c>
      <c r="M111" t="s">
        <v>308</v>
      </c>
      <c r="N111" t="s">
        <v>309</v>
      </c>
    </row>
    <row r="112" spans="1:15" x14ac:dyDescent="0.45">
      <c r="I112" t="s">
        <v>76</v>
      </c>
      <c r="J112" t="s">
        <v>310</v>
      </c>
      <c r="K112">
        <v>11159.985647609126</v>
      </c>
      <c r="M112" t="s">
        <v>76</v>
      </c>
      <c r="N112" t="s">
        <v>310</v>
      </c>
      <c r="O112">
        <v>5425.0359909104618</v>
      </c>
    </row>
    <row r="113" spans="9:15" x14ac:dyDescent="0.45">
      <c r="I113" t="s">
        <v>311</v>
      </c>
      <c r="J113" t="s">
        <v>312</v>
      </c>
      <c r="M113" t="s">
        <v>311</v>
      </c>
      <c r="N113" t="s">
        <v>312</v>
      </c>
    </row>
    <row r="114" spans="9:15" x14ac:dyDescent="0.45">
      <c r="I114" t="s">
        <v>103</v>
      </c>
      <c r="J114" t="s">
        <v>313</v>
      </c>
      <c r="K114">
        <v>133437.47011701888</v>
      </c>
      <c r="M114" t="s">
        <v>103</v>
      </c>
      <c r="N114" t="s">
        <v>313</v>
      </c>
      <c r="O114">
        <v>71588.265663837767</v>
      </c>
    </row>
    <row r="115" spans="9:15" x14ac:dyDescent="0.45">
      <c r="I115" t="s">
        <v>314</v>
      </c>
      <c r="J115" t="s">
        <v>315</v>
      </c>
      <c r="K115">
        <v>19873.88608538052</v>
      </c>
      <c r="M115" t="s">
        <v>314</v>
      </c>
      <c r="N115" t="s">
        <v>315</v>
      </c>
      <c r="O115">
        <v>14273.549906158638</v>
      </c>
    </row>
    <row r="116" spans="9:15" x14ac:dyDescent="0.45">
      <c r="I116" t="s">
        <v>91</v>
      </c>
      <c r="J116" t="s">
        <v>316</v>
      </c>
      <c r="K116">
        <v>14464.31869281728</v>
      </c>
      <c r="M116" t="s">
        <v>91</v>
      </c>
      <c r="N116" t="s">
        <v>316</v>
      </c>
      <c r="O116">
        <v>9334.4660486631528</v>
      </c>
    </row>
    <row r="117" spans="9:15" x14ac:dyDescent="0.45">
      <c r="I117" t="s">
        <v>104</v>
      </c>
      <c r="J117" t="s">
        <v>317</v>
      </c>
      <c r="K117">
        <v>84256.845457311152</v>
      </c>
      <c r="M117" t="s">
        <v>104</v>
      </c>
      <c r="N117" t="s">
        <v>317</v>
      </c>
      <c r="O117">
        <v>49201.064096455295</v>
      </c>
    </row>
    <row r="118" spans="9:15" x14ac:dyDescent="0.45">
      <c r="I118" t="s">
        <v>46</v>
      </c>
      <c r="J118" t="s">
        <v>318</v>
      </c>
      <c r="K118">
        <v>57235.776324413557</v>
      </c>
      <c r="M118" t="s">
        <v>46</v>
      </c>
      <c r="N118" t="s">
        <v>318</v>
      </c>
      <c r="O118">
        <v>35870.792715630116</v>
      </c>
    </row>
    <row r="119" spans="9:15" x14ac:dyDescent="0.45">
      <c r="I119" t="s">
        <v>83</v>
      </c>
      <c r="J119" t="s">
        <v>319</v>
      </c>
      <c r="K119">
        <v>62014.26751536892</v>
      </c>
      <c r="M119" t="s">
        <v>83</v>
      </c>
      <c r="N119" t="s">
        <v>319</v>
      </c>
      <c r="O119">
        <v>37384.37964554059</v>
      </c>
    </row>
    <row r="120" spans="9:15" x14ac:dyDescent="0.45">
      <c r="I120" t="s">
        <v>129</v>
      </c>
      <c r="J120" t="s">
        <v>320</v>
      </c>
      <c r="K120">
        <v>12890.266005147236</v>
      </c>
      <c r="M120" t="s">
        <v>129</v>
      </c>
      <c r="N120" t="s">
        <v>320</v>
      </c>
      <c r="O120">
        <v>9476.1492946503731</v>
      </c>
    </row>
    <row r="121" spans="9:15" x14ac:dyDescent="0.45">
      <c r="I121" t="s">
        <v>101</v>
      </c>
      <c r="J121" t="s">
        <v>321</v>
      </c>
      <c r="K121">
        <v>10821.490976531695</v>
      </c>
      <c r="M121" t="s">
        <v>101</v>
      </c>
      <c r="N121" t="s">
        <v>321</v>
      </c>
      <c r="O121">
        <v>8967.0799583780827</v>
      </c>
    </row>
    <row r="122" spans="9:15" x14ac:dyDescent="0.45">
      <c r="I122" t="s">
        <v>66</v>
      </c>
      <c r="J122" t="s">
        <v>322</v>
      </c>
      <c r="K122">
        <v>52039.171655161132</v>
      </c>
      <c r="M122" t="s">
        <v>66</v>
      </c>
      <c r="N122" t="s">
        <v>322</v>
      </c>
      <c r="O122">
        <v>40898.806973960003</v>
      </c>
    </row>
    <row r="123" spans="9:15" x14ac:dyDescent="0.45">
      <c r="I123" t="s">
        <v>82</v>
      </c>
      <c r="J123" t="s">
        <v>323</v>
      </c>
      <c r="K123">
        <v>40890.931769440824</v>
      </c>
      <c r="M123" t="s">
        <v>82</v>
      </c>
      <c r="N123" t="s">
        <v>323</v>
      </c>
      <c r="O123">
        <v>22484.365138260669</v>
      </c>
    </row>
    <row r="124" spans="9:15" x14ac:dyDescent="0.45">
      <c r="I124" t="s">
        <v>118</v>
      </c>
      <c r="J124" t="s">
        <v>324</v>
      </c>
      <c r="K124">
        <v>6644.1309324389458</v>
      </c>
      <c r="M124" t="s">
        <v>118</v>
      </c>
      <c r="N124" t="s">
        <v>324</v>
      </c>
      <c r="O124">
        <v>3678.3261414601934</v>
      </c>
    </row>
    <row r="125" spans="9:15" x14ac:dyDescent="0.45">
      <c r="I125" t="s">
        <v>325</v>
      </c>
      <c r="J125" t="s">
        <v>326</v>
      </c>
      <c r="K125">
        <v>8012.4546444219386</v>
      </c>
      <c r="M125" t="s">
        <v>325</v>
      </c>
      <c r="N125" t="s">
        <v>326</v>
      </c>
      <c r="O125">
        <v>4153.3766990372033</v>
      </c>
    </row>
    <row r="126" spans="9:15" x14ac:dyDescent="0.45">
      <c r="I126" t="s">
        <v>117</v>
      </c>
      <c r="J126" t="s">
        <v>327</v>
      </c>
      <c r="K126">
        <v>7966.8735242870525</v>
      </c>
      <c r="M126" t="s">
        <v>117</v>
      </c>
      <c r="N126" t="s">
        <v>327</v>
      </c>
      <c r="O126">
        <v>4433.6439350057199</v>
      </c>
    </row>
    <row r="127" spans="9:15" x14ac:dyDescent="0.45">
      <c r="I127" t="s">
        <v>328</v>
      </c>
      <c r="J127" t="s">
        <v>329</v>
      </c>
      <c r="K127">
        <v>3702.3259470311536</v>
      </c>
      <c r="M127" t="s">
        <v>328</v>
      </c>
      <c r="N127" t="s">
        <v>329</v>
      </c>
      <c r="O127">
        <v>2310.6031287361229</v>
      </c>
    </row>
    <row r="128" spans="9:15" x14ac:dyDescent="0.45">
      <c r="I128" t="s">
        <v>330</v>
      </c>
      <c r="J128" t="s">
        <v>331</v>
      </c>
      <c r="K128">
        <v>34846.603534282825</v>
      </c>
      <c r="M128" t="s">
        <v>330</v>
      </c>
      <c r="N128" t="s">
        <v>331</v>
      </c>
      <c r="O128">
        <v>26877.466503110063</v>
      </c>
    </row>
    <row r="129" spans="9:15" x14ac:dyDescent="0.45">
      <c r="I129" t="s">
        <v>332</v>
      </c>
      <c r="J129" t="s">
        <v>333</v>
      </c>
      <c r="K129">
        <v>61051.349250249827</v>
      </c>
      <c r="M129" t="s">
        <v>332</v>
      </c>
      <c r="N129" t="s">
        <v>333</v>
      </c>
      <c r="O129">
        <v>39794.196118004278</v>
      </c>
    </row>
    <row r="130" spans="9:15" x14ac:dyDescent="0.45">
      <c r="I130" t="s">
        <v>99</v>
      </c>
      <c r="J130" t="s">
        <v>334</v>
      </c>
      <c r="K130">
        <v>52443.596922362623</v>
      </c>
      <c r="M130" t="s">
        <v>99</v>
      </c>
      <c r="N130" t="s">
        <v>334</v>
      </c>
      <c r="O130">
        <v>45267.308534745178</v>
      </c>
    </row>
    <row r="131" spans="9:15" x14ac:dyDescent="0.45">
      <c r="I131" t="s">
        <v>335</v>
      </c>
      <c r="J131" t="s">
        <v>336</v>
      </c>
      <c r="K131">
        <v>21961.190021174185</v>
      </c>
      <c r="M131" t="s">
        <v>335</v>
      </c>
      <c r="N131" t="s">
        <v>336</v>
      </c>
      <c r="O131">
        <v>14758.794334702339</v>
      </c>
    </row>
    <row r="132" spans="9:15" x14ac:dyDescent="0.45">
      <c r="I132" t="s">
        <v>337</v>
      </c>
      <c r="J132" t="s">
        <v>338</v>
      </c>
      <c r="K132">
        <v>9775.8281738102341</v>
      </c>
      <c r="M132" t="s">
        <v>337</v>
      </c>
      <c r="N132" t="s">
        <v>338</v>
      </c>
      <c r="O132">
        <v>6086.0673044621963</v>
      </c>
    </row>
    <row r="133" spans="9:15" x14ac:dyDescent="0.45">
      <c r="I133" t="s">
        <v>39</v>
      </c>
      <c r="J133" t="s">
        <v>339</v>
      </c>
      <c r="M133" t="s">
        <v>39</v>
      </c>
      <c r="N133" t="s">
        <v>339</v>
      </c>
      <c r="O133">
        <v>17045.898285301035</v>
      </c>
    </row>
    <row r="134" spans="9:15" x14ac:dyDescent="0.45">
      <c r="I134" t="s">
        <v>340</v>
      </c>
      <c r="J134" t="s">
        <v>341</v>
      </c>
      <c r="K134">
        <v>1871.0440616426233</v>
      </c>
      <c r="M134" t="s">
        <v>340</v>
      </c>
      <c r="N134" t="s">
        <v>341</v>
      </c>
      <c r="O134">
        <v>1340.4327974119658</v>
      </c>
    </row>
    <row r="135" spans="9:15" x14ac:dyDescent="0.45">
      <c r="I135" t="s">
        <v>127</v>
      </c>
      <c r="J135" t="s">
        <v>342</v>
      </c>
      <c r="K135">
        <v>14303.808773698796</v>
      </c>
      <c r="M135" t="s">
        <v>127</v>
      </c>
      <c r="N135" t="s">
        <v>342</v>
      </c>
      <c r="O135">
        <v>17903.256539580278</v>
      </c>
    </row>
    <row r="136" spans="9:15" x14ac:dyDescent="0.45">
      <c r="I136" t="s">
        <v>343</v>
      </c>
      <c r="J136" t="s">
        <v>344</v>
      </c>
      <c r="K136">
        <v>27567.328077983904</v>
      </c>
      <c r="M136" t="s">
        <v>343</v>
      </c>
      <c r="N136" t="s">
        <v>344</v>
      </c>
      <c r="O136">
        <v>14353.222484584501</v>
      </c>
    </row>
    <row r="137" spans="9:15" x14ac:dyDescent="0.45">
      <c r="I137" t="s">
        <v>345</v>
      </c>
      <c r="J137" t="s">
        <v>346</v>
      </c>
      <c r="K137">
        <v>23104.551980607801</v>
      </c>
      <c r="M137" t="s">
        <v>345</v>
      </c>
      <c r="N137" t="s">
        <v>346</v>
      </c>
      <c r="O137">
        <v>15285.771244360005</v>
      </c>
    </row>
    <row r="138" spans="9:15" x14ac:dyDescent="0.45">
      <c r="I138" t="s">
        <v>347</v>
      </c>
      <c r="J138" t="s">
        <v>348</v>
      </c>
      <c r="K138">
        <v>4463.9956422524365</v>
      </c>
      <c r="M138" t="s">
        <v>347</v>
      </c>
      <c r="N138" t="s">
        <v>348</v>
      </c>
      <c r="O138">
        <v>2764.4410679667362</v>
      </c>
    </row>
    <row r="139" spans="9:15" x14ac:dyDescent="0.45">
      <c r="I139" t="s">
        <v>349</v>
      </c>
      <c r="J139" t="s">
        <v>350</v>
      </c>
      <c r="K139">
        <v>2353.0487836878401</v>
      </c>
      <c r="M139" t="s">
        <v>349</v>
      </c>
      <c r="N139" t="s">
        <v>350</v>
      </c>
      <c r="O139">
        <v>1821.6403699213456</v>
      </c>
    </row>
    <row r="140" spans="9:15" x14ac:dyDescent="0.45">
      <c r="I140" t="s">
        <v>351</v>
      </c>
      <c r="J140" t="s">
        <v>352</v>
      </c>
      <c r="M140" t="s">
        <v>351</v>
      </c>
      <c r="N140" t="s">
        <v>352</v>
      </c>
    </row>
    <row r="141" spans="9:15" x14ac:dyDescent="0.45">
      <c r="I141" t="s">
        <v>13</v>
      </c>
      <c r="J141" t="s">
        <v>353</v>
      </c>
      <c r="K141">
        <v>15632.592484984809</v>
      </c>
      <c r="M141" t="s">
        <v>13</v>
      </c>
      <c r="N141" t="s">
        <v>353</v>
      </c>
      <c r="O141">
        <v>12227.171484951274</v>
      </c>
    </row>
    <row r="142" spans="9:15" x14ac:dyDescent="0.45">
      <c r="I142" t="s">
        <v>354</v>
      </c>
      <c r="J142" t="s">
        <v>355</v>
      </c>
      <c r="K142">
        <v>10225.442286008789</v>
      </c>
      <c r="M142" t="s">
        <v>354</v>
      </c>
      <c r="N142" t="s">
        <v>355</v>
      </c>
      <c r="O142">
        <v>5688.7007120405106</v>
      </c>
    </row>
    <row r="143" spans="9:15" x14ac:dyDescent="0.45">
      <c r="I143" t="s">
        <v>356</v>
      </c>
      <c r="J143" t="s">
        <v>357</v>
      </c>
      <c r="K143">
        <v>15794.483684907966</v>
      </c>
      <c r="M143" t="s">
        <v>356</v>
      </c>
      <c r="N143" t="s">
        <v>357</v>
      </c>
      <c r="O143">
        <v>9147.9027374821708</v>
      </c>
    </row>
    <row r="144" spans="9:15" x14ac:dyDescent="0.45">
      <c r="I144" t="s">
        <v>358</v>
      </c>
      <c r="J144" t="s">
        <v>359</v>
      </c>
      <c r="K144">
        <v>3001.1631195133386</v>
      </c>
      <c r="M144" t="s">
        <v>358</v>
      </c>
      <c r="N144" t="s">
        <v>359</v>
      </c>
      <c r="O144">
        <v>3034.6469292484821</v>
      </c>
    </row>
    <row r="145" spans="9:15" x14ac:dyDescent="0.45">
      <c r="I145" t="s">
        <v>360</v>
      </c>
      <c r="J145" t="s">
        <v>361</v>
      </c>
      <c r="K145">
        <v>28321.950614319943</v>
      </c>
      <c r="M145" t="s">
        <v>360</v>
      </c>
      <c r="N145" t="s">
        <v>361</v>
      </c>
      <c r="O145">
        <v>15118.190269963905</v>
      </c>
    </row>
    <row r="146" spans="9:15" x14ac:dyDescent="0.45">
      <c r="I146" t="s">
        <v>63</v>
      </c>
      <c r="J146" t="s">
        <v>362</v>
      </c>
      <c r="K146">
        <v>55285.899193430414</v>
      </c>
      <c r="M146" t="s">
        <v>63</v>
      </c>
      <c r="N146" t="s">
        <v>362</v>
      </c>
      <c r="O146">
        <v>26948.591937164463</v>
      </c>
    </row>
    <row r="147" spans="9:15" x14ac:dyDescent="0.45">
      <c r="I147" t="s">
        <v>88</v>
      </c>
      <c r="J147" t="s">
        <v>363</v>
      </c>
      <c r="K147">
        <v>155941.28821079066</v>
      </c>
      <c r="M147" t="s">
        <v>88</v>
      </c>
      <c r="N147" t="s">
        <v>363</v>
      </c>
      <c r="O147">
        <v>107859.68599930758</v>
      </c>
    </row>
    <row r="148" spans="9:15" x14ac:dyDescent="0.45">
      <c r="I148" t="s">
        <v>89</v>
      </c>
      <c r="J148" t="s">
        <v>364</v>
      </c>
      <c r="K148">
        <v>43394.273282231392</v>
      </c>
      <c r="M148" t="s">
        <v>89</v>
      </c>
      <c r="N148" t="s">
        <v>364</v>
      </c>
      <c r="O148">
        <v>22543.918316410469</v>
      </c>
    </row>
    <row r="149" spans="9:15" x14ac:dyDescent="0.45">
      <c r="I149" t="s">
        <v>365</v>
      </c>
      <c r="J149" t="s">
        <v>366</v>
      </c>
      <c r="K149">
        <v>126959.91713890589</v>
      </c>
      <c r="M149" t="s">
        <v>365</v>
      </c>
      <c r="N149" t="s">
        <v>366</v>
      </c>
      <c r="O149">
        <v>108656.76390491911</v>
      </c>
    </row>
    <row r="150" spans="9:15" x14ac:dyDescent="0.45">
      <c r="I150" t="s">
        <v>367</v>
      </c>
      <c r="J150" t="s">
        <v>368</v>
      </c>
      <c r="M150" t="s">
        <v>367</v>
      </c>
      <c r="N150" t="s">
        <v>368</v>
      </c>
    </row>
    <row r="151" spans="9:15" x14ac:dyDescent="0.45">
      <c r="I151" t="s">
        <v>51</v>
      </c>
      <c r="J151" t="s">
        <v>369</v>
      </c>
      <c r="K151">
        <v>10415.1240234375</v>
      </c>
      <c r="M151" t="s">
        <v>51</v>
      </c>
      <c r="N151" t="s">
        <v>369</v>
      </c>
      <c r="O151">
        <v>7799.09228515625</v>
      </c>
    </row>
    <row r="152" spans="9:15" x14ac:dyDescent="0.45">
      <c r="I152" t="s">
        <v>370</v>
      </c>
      <c r="J152" t="s">
        <v>371</v>
      </c>
      <c r="M152" t="s">
        <v>370</v>
      </c>
      <c r="N152" t="s">
        <v>371</v>
      </c>
    </row>
    <row r="153" spans="9:15" x14ac:dyDescent="0.45">
      <c r="I153" t="s">
        <v>52</v>
      </c>
      <c r="J153" t="s">
        <v>372</v>
      </c>
      <c r="K153">
        <v>18614.988069120322</v>
      </c>
      <c r="M153" t="s">
        <v>52</v>
      </c>
      <c r="N153" t="s">
        <v>372</v>
      </c>
      <c r="O153">
        <v>9197.6183820427232</v>
      </c>
    </row>
    <row r="154" spans="9:15" x14ac:dyDescent="0.45">
      <c r="I154" t="s">
        <v>373</v>
      </c>
      <c r="J154" t="s">
        <v>374</v>
      </c>
      <c r="K154">
        <v>1883.5374311383985</v>
      </c>
      <c r="M154" t="s">
        <v>373</v>
      </c>
      <c r="N154" t="s">
        <v>374</v>
      </c>
      <c r="O154">
        <v>1496.611724128411</v>
      </c>
    </row>
    <row r="155" spans="9:15" x14ac:dyDescent="0.45">
      <c r="I155" t="s">
        <v>375</v>
      </c>
      <c r="J155" t="s">
        <v>376</v>
      </c>
      <c r="K155">
        <v>26182.783157091664</v>
      </c>
      <c r="M155" t="s">
        <v>375</v>
      </c>
      <c r="N155" t="s">
        <v>376</v>
      </c>
      <c r="O155">
        <v>17875.098941926222</v>
      </c>
    </row>
    <row r="156" spans="9:15" x14ac:dyDescent="0.45">
      <c r="I156" t="s">
        <v>377</v>
      </c>
      <c r="J156" t="s">
        <v>378</v>
      </c>
      <c r="K156">
        <v>16262.776955602703</v>
      </c>
      <c r="M156" t="s">
        <v>377</v>
      </c>
      <c r="N156" t="s">
        <v>378</v>
      </c>
      <c r="O156">
        <v>11845.725735979482</v>
      </c>
    </row>
    <row r="157" spans="9:15" x14ac:dyDescent="0.45">
      <c r="I157" t="s">
        <v>69</v>
      </c>
      <c r="J157" t="s">
        <v>379</v>
      </c>
      <c r="K157">
        <v>26185.356471325278</v>
      </c>
      <c r="M157" t="s">
        <v>69</v>
      </c>
      <c r="N157" t="s">
        <v>379</v>
      </c>
      <c r="O157">
        <v>19071.444419646581</v>
      </c>
    </row>
    <row r="158" spans="9:15" x14ac:dyDescent="0.45">
      <c r="I158" t="s">
        <v>380</v>
      </c>
      <c r="J158" t="s">
        <v>381</v>
      </c>
      <c r="K158">
        <v>8194.6385475840307</v>
      </c>
      <c r="M158" t="s">
        <v>380</v>
      </c>
      <c r="N158" t="s">
        <v>381</v>
      </c>
      <c r="O158">
        <v>4125.1616927563</v>
      </c>
    </row>
    <row r="159" spans="9:15" x14ac:dyDescent="0.45">
      <c r="I159" t="s">
        <v>382</v>
      </c>
      <c r="J159" t="s">
        <v>383</v>
      </c>
      <c r="K159">
        <v>17211.757156672367</v>
      </c>
      <c r="M159" t="s">
        <v>382</v>
      </c>
      <c r="N159" t="s">
        <v>383</v>
      </c>
      <c r="O159">
        <v>9809.5362220285224</v>
      </c>
    </row>
    <row r="160" spans="9:15" x14ac:dyDescent="0.45">
      <c r="I160" t="s">
        <v>64</v>
      </c>
      <c r="J160" t="s">
        <v>384</v>
      </c>
      <c r="K160">
        <v>26986.568596749126</v>
      </c>
      <c r="M160" t="s">
        <v>64</v>
      </c>
      <c r="N160" t="s">
        <v>384</v>
      </c>
      <c r="O160">
        <v>14045.071137177483</v>
      </c>
    </row>
    <row r="161" spans="9:15" x14ac:dyDescent="0.45">
      <c r="I161" t="s">
        <v>385</v>
      </c>
      <c r="J161" t="s">
        <v>386</v>
      </c>
      <c r="K161">
        <v>3314.7733223195919</v>
      </c>
      <c r="M161" t="s">
        <v>385</v>
      </c>
      <c r="N161" t="s">
        <v>386</v>
      </c>
      <c r="O161">
        <v>2330.2429394769197</v>
      </c>
    </row>
    <row r="162" spans="9:15" x14ac:dyDescent="0.45">
      <c r="I162" t="s">
        <v>72</v>
      </c>
      <c r="J162" t="s">
        <v>387</v>
      </c>
      <c r="K162">
        <v>71017.774425871685</v>
      </c>
      <c r="M162" t="s">
        <v>72</v>
      </c>
      <c r="N162" t="s">
        <v>387</v>
      </c>
      <c r="O162">
        <v>35844.478646050586</v>
      </c>
    </row>
    <row r="163" spans="9:15" x14ac:dyDescent="0.45">
      <c r="I163" t="s">
        <v>115</v>
      </c>
      <c r="J163" t="s">
        <v>388</v>
      </c>
      <c r="K163">
        <v>5997.4651632371524</v>
      </c>
      <c r="M163" t="s">
        <v>115</v>
      </c>
      <c r="N163" t="s">
        <v>388</v>
      </c>
      <c r="O163">
        <v>4458.6905444265858</v>
      </c>
    </row>
    <row r="164" spans="9:15" x14ac:dyDescent="0.45">
      <c r="I164" t="s">
        <v>389</v>
      </c>
      <c r="J164" t="s">
        <v>390</v>
      </c>
      <c r="K164">
        <v>11220.606998116553</v>
      </c>
      <c r="M164" t="s">
        <v>389</v>
      </c>
      <c r="N164" t="s">
        <v>390</v>
      </c>
      <c r="O164">
        <v>7969.6283599510425</v>
      </c>
    </row>
    <row r="165" spans="9:15" x14ac:dyDescent="0.45">
      <c r="I165" t="s">
        <v>58</v>
      </c>
      <c r="J165" t="s">
        <v>391</v>
      </c>
      <c r="K165">
        <v>34806.948319581694</v>
      </c>
      <c r="M165" t="s">
        <v>58</v>
      </c>
      <c r="N165" t="s">
        <v>391</v>
      </c>
      <c r="O165">
        <v>15033.061265649618</v>
      </c>
    </row>
    <row r="166" spans="9:15" x14ac:dyDescent="0.45">
      <c r="I166" t="s">
        <v>392</v>
      </c>
      <c r="J166" t="s">
        <v>393</v>
      </c>
      <c r="K166">
        <v>19144.726136849778</v>
      </c>
      <c r="M166" t="s">
        <v>392</v>
      </c>
      <c r="N166" t="s">
        <v>393</v>
      </c>
      <c r="O166">
        <v>10458.302724052422</v>
      </c>
    </row>
    <row r="167" spans="9:15" x14ac:dyDescent="0.45">
      <c r="I167" t="s">
        <v>394</v>
      </c>
      <c r="J167" t="s">
        <v>395</v>
      </c>
      <c r="M167" t="s">
        <v>394</v>
      </c>
      <c r="N167" t="s">
        <v>395</v>
      </c>
    </row>
    <row r="168" spans="9:15" x14ac:dyDescent="0.45">
      <c r="I168" t="s">
        <v>128</v>
      </c>
      <c r="J168" t="s">
        <v>396</v>
      </c>
      <c r="K168">
        <v>1705.3791952041599</v>
      </c>
      <c r="M168" t="s">
        <v>128</v>
      </c>
      <c r="N168" t="s">
        <v>396</v>
      </c>
      <c r="O168">
        <v>1317.8878595682165</v>
      </c>
    </row>
    <row r="169" spans="9:15" x14ac:dyDescent="0.45">
      <c r="I169" t="s">
        <v>397</v>
      </c>
      <c r="J169" t="s">
        <v>398</v>
      </c>
      <c r="K169">
        <v>7368.7527529021381</v>
      </c>
      <c r="M169" t="s">
        <v>397</v>
      </c>
      <c r="N169" t="s">
        <v>398</v>
      </c>
      <c r="O169">
        <v>3977.6117127586322</v>
      </c>
    </row>
    <row r="170" spans="9:15" x14ac:dyDescent="0.45">
      <c r="I170" t="s">
        <v>25</v>
      </c>
      <c r="J170" t="s">
        <v>399</v>
      </c>
      <c r="K170">
        <v>31839.759753552396</v>
      </c>
      <c r="M170" t="s">
        <v>25</v>
      </c>
      <c r="N170" t="s">
        <v>399</v>
      </c>
      <c r="O170">
        <v>20269.523509561048</v>
      </c>
    </row>
    <row r="171" spans="9:15" x14ac:dyDescent="0.45">
      <c r="I171" t="s">
        <v>400</v>
      </c>
      <c r="J171" t="s">
        <v>401</v>
      </c>
      <c r="K171">
        <v>1857.6175695030456</v>
      </c>
      <c r="M171" t="s">
        <v>400</v>
      </c>
      <c r="N171" t="s">
        <v>401</v>
      </c>
      <c r="O171">
        <v>1403.0845120923454</v>
      </c>
    </row>
    <row r="172" spans="9:15" x14ac:dyDescent="0.45">
      <c r="I172" t="s">
        <v>87</v>
      </c>
      <c r="J172" t="s">
        <v>402</v>
      </c>
      <c r="K172">
        <v>38779.283044225274</v>
      </c>
      <c r="M172" t="s">
        <v>87</v>
      </c>
      <c r="N172" t="s">
        <v>402</v>
      </c>
      <c r="O172">
        <v>24526.394271601155</v>
      </c>
    </row>
    <row r="173" spans="9:15" x14ac:dyDescent="0.45">
      <c r="I173" t="s">
        <v>403</v>
      </c>
      <c r="J173" t="s">
        <v>404</v>
      </c>
      <c r="K173">
        <v>83521.838579897274</v>
      </c>
      <c r="M173" t="s">
        <v>403</v>
      </c>
      <c r="N173" t="s">
        <v>404</v>
      </c>
      <c r="O173">
        <v>55636.553846256189</v>
      </c>
    </row>
    <row r="174" spans="9:15" x14ac:dyDescent="0.45">
      <c r="I174" t="s">
        <v>126</v>
      </c>
      <c r="J174" t="s">
        <v>405</v>
      </c>
      <c r="K174">
        <v>11686.602066188076</v>
      </c>
      <c r="M174" t="s">
        <v>126</v>
      </c>
      <c r="N174" t="s">
        <v>405</v>
      </c>
      <c r="O174">
        <v>10465.892055851635</v>
      </c>
    </row>
    <row r="175" spans="9:15" x14ac:dyDescent="0.45">
      <c r="I175" t="s">
        <v>406</v>
      </c>
      <c r="J175" t="s">
        <v>407</v>
      </c>
      <c r="M175" t="s">
        <v>406</v>
      </c>
      <c r="N175" t="s">
        <v>407</v>
      </c>
    </row>
    <row r="176" spans="9:15" x14ac:dyDescent="0.45">
      <c r="I176" t="s">
        <v>408</v>
      </c>
      <c r="J176" t="s">
        <v>409</v>
      </c>
      <c r="K176">
        <v>2049.9330525101877</v>
      </c>
      <c r="M176" t="s">
        <v>408</v>
      </c>
      <c r="N176" t="s">
        <v>409</v>
      </c>
      <c r="O176">
        <v>1172.1917875895499</v>
      </c>
    </row>
    <row r="177" spans="9:15" x14ac:dyDescent="0.45">
      <c r="I177" t="s">
        <v>121</v>
      </c>
      <c r="J177" t="s">
        <v>410</v>
      </c>
      <c r="K177">
        <v>9086.8755060962667</v>
      </c>
      <c r="M177" t="s">
        <v>121</v>
      </c>
      <c r="N177" t="s">
        <v>410</v>
      </c>
      <c r="O177">
        <v>7307.8378818892461</v>
      </c>
    </row>
    <row r="178" spans="9:15" x14ac:dyDescent="0.45">
      <c r="I178" t="s">
        <v>123</v>
      </c>
      <c r="J178" t="s">
        <v>411</v>
      </c>
      <c r="K178">
        <v>8708.7998305162619</v>
      </c>
      <c r="M178" t="s">
        <v>123</v>
      </c>
      <c r="N178" t="s">
        <v>411</v>
      </c>
      <c r="O178">
        <v>5448.8922601031718</v>
      </c>
    </row>
    <row r="179" spans="9:15" x14ac:dyDescent="0.45">
      <c r="I179" t="s">
        <v>97</v>
      </c>
      <c r="J179" t="s">
        <v>412</v>
      </c>
      <c r="K179">
        <v>86173.629084173808</v>
      </c>
      <c r="M179" t="s">
        <v>97</v>
      </c>
      <c r="N179" t="s">
        <v>412</v>
      </c>
      <c r="O179">
        <v>50956.693094218521</v>
      </c>
    </row>
    <row r="180" spans="9:15" x14ac:dyDescent="0.45">
      <c r="I180" t="s">
        <v>92</v>
      </c>
      <c r="J180" t="s">
        <v>413</v>
      </c>
      <c r="K180">
        <v>102037.52680023712</v>
      </c>
      <c r="M180" t="s">
        <v>92</v>
      </c>
      <c r="N180" t="s">
        <v>413</v>
      </c>
      <c r="O180">
        <v>60737.886813277903</v>
      </c>
    </row>
    <row r="181" spans="9:15" x14ac:dyDescent="0.45">
      <c r="I181" t="s">
        <v>14</v>
      </c>
      <c r="J181" t="s">
        <v>414</v>
      </c>
      <c r="K181">
        <v>5736.6213433270359</v>
      </c>
      <c r="M181" t="s">
        <v>14</v>
      </c>
      <c r="N181" t="s">
        <v>414</v>
      </c>
      <c r="O181">
        <v>2957.3055914550432</v>
      </c>
    </row>
    <row r="182" spans="9:15" x14ac:dyDescent="0.45">
      <c r="I182" t="s">
        <v>415</v>
      </c>
      <c r="J182" t="s">
        <v>416</v>
      </c>
      <c r="K182">
        <v>14173.00810431538</v>
      </c>
      <c r="M182" t="s">
        <v>415</v>
      </c>
      <c r="N182" t="s">
        <v>416</v>
      </c>
      <c r="O182">
        <v>9955.3354866317513</v>
      </c>
    </row>
    <row r="183" spans="9:15" x14ac:dyDescent="0.45">
      <c r="I183" t="s">
        <v>98</v>
      </c>
      <c r="J183" t="s">
        <v>417</v>
      </c>
      <c r="K183">
        <v>55551.143658637026</v>
      </c>
      <c r="M183" t="s">
        <v>98</v>
      </c>
      <c r="N183" t="s">
        <v>417</v>
      </c>
      <c r="O183">
        <v>37513.296387244161</v>
      </c>
    </row>
    <row r="184" spans="9:15" x14ac:dyDescent="0.45">
      <c r="I184" t="s">
        <v>418</v>
      </c>
      <c r="J184" t="s">
        <v>419</v>
      </c>
      <c r="K184">
        <v>61972.888127538579</v>
      </c>
      <c r="M184" t="s">
        <v>418</v>
      </c>
      <c r="N184" t="s">
        <v>419</v>
      </c>
      <c r="O184">
        <v>40696.125798692272</v>
      </c>
    </row>
    <row r="185" spans="9:15" x14ac:dyDescent="0.45">
      <c r="I185" t="s">
        <v>111</v>
      </c>
      <c r="J185" t="s">
        <v>420</v>
      </c>
      <c r="K185">
        <v>41740.16585300117</v>
      </c>
      <c r="M185" t="s">
        <v>111</v>
      </c>
      <c r="N185" t="s">
        <v>420</v>
      </c>
      <c r="O185">
        <v>36058.166608478794</v>
      </c>
    </row>
    <row r="186" spans="9:15" x14ac:dyDescent="0.45">
      <c r="I186" t="s">
        <v>421</v>
      </c>
      <c r="J186" t="s">
        <v>422</v>
      </c>
      <c r="K186">
        <v>29390.284967005111</v>
      </c>
      <c r="M186" t="s">
        <v>421</v>
      </c>
      <c r="N186" t="s">
        <v>422</v>
      </c>
      <c r="O186">
        <v>17170.033848412379</v>
      </c>
    </row>
    <row r="187" spans="9:15" x14ac:dyDescent="0.45">
      <c r="I187" t="s">
        <v>43</v>
      </c>
      <c r="J187" t="s">
        <v>423</v>
      </c>
      <c r="K187">
        <v>6252.1154319955858</v>
      </c>
      <c r="M187" t="s">
        <v>43</v>
      </c>
      <c r="N187" t="s">
        <v>423</v>
      </c>
      <c r="O187">
        <v>4480.2631346098487</v>
      </c>
    </row>
    <row r="188" spans="9:15" x14ac:dyDescent="0.45">
      <c r="I188" t="s">
        <v>73</v>
      </c>
      <c r="J188" t="s">
        <v>424</v>
      </c>
      <c r="K188">
        <v>41369.422541498956</v>
      </c>
      <c r="M188" t="s">
        <v>73</v>
      </c>
      <c r="N188" t="s">
        <v>424</v>
      </c>
      <c r="O188">
        <v>27245.278840263127</v>
      </c>
    </row>
    <row r="189" spans="9:15" x14ac:dyDescent="0.45">
      <c r="I189" t="s">
        <v>26</v>
      </c>
      <c r="J189" t="s">
        <v>425</v>
      </c>
      <c r="K189">
        <v>17802.418249897237</v>
      </c>
      <c r="M189" t="s">
        <v>26</v>
      </c>
      <c r="N189" t="s">
        <v>425</v>
      </c>
      <c r="O189">
        <v>11600.387399286728</v>
      </c>
    </row>
    <row r="190" spans="9:15" x14ac:dyDescent="0.45">
      <c r="I190" t="s">
        <v>20</v>
      </c>
      <c r="J190" t="s">
        <v>426</v>
      </c>
      <c r="K190">
        <v>11794.137548849178</v>
      </c>
      <c r="M190" t="s">
        <v>20</v>
      </c>
      <c r="N190" t="s">
        <v>426</v>
      </c>
      <c r="O190">
        <v>6894.2670221793451</v>
      </c>
    </row>
    <row r="191" spans="9:15" x14ac:dyDescent="0.45">
      <c r="I191" t="s">
        <v>427</v>
      </c>
      <c r="J191" t="s">
        <v>428</v>
      </c>
      <c r="M191" t="s">
        <v>427</v>
      </c>
      <c r="N191" t="s">
        <v>428</v>
      </c>
      <c r="O191">
        <v>17853.510392706143</v>
      </c>
    </row>
    <row r="192" spans="9:15" x14ac:dyDescent="0.45">
      <c r="I192" t="s">
        <v>429</v>
      </c>
      <c r="J192" t="s">
        <v>430</v>
      </c>
      <c r="K192">
        <v>4874.6899553588992</v>
      </c>
      <c r="M192" t="s">
        <v>429</v>
      </c>
      <c r="N192" t="s">
        <v>430</v>
      </c>
      <c r="O192">
        <v>3669.7387159269474</v>
      </c>
    </row>
    <row r="193" spans="9:15" x14ac:dyDescent="0.45">
      <c r="I193" t="s">
        <v>74</v>
      </c>
      <c r="J193" t="s">
        <v>431</v>
      </c>
      <c r="K193">
        <v>51262.510575688393</v>
      </c>
      <c r="M193" t="s">
        <v>74</v>
      </c>
      <c r="N193" t="s">
        <v>431</v>
      </c>
      <c r="O193">
        <v>26988.1069013509</v>
      </c>
    </row>
    <row r="194" spans="9:15" x14ac:dyDescent="0.45">
      <c r="I194" t="s">
        <v>432</v>
      </c>
      <c r="J194" t="s">
        <v>433</v>
      </c>
      <c r="K194">
        <v>5268.7492489194674</v>
      </c>
      <c r="M194" t="s">
        <v>432</v>
      </c>
      <c r="N194" t="s">
        <v>433</v>
      </c>
      <c r="O194">
        <v>3910.5912778382772</v>
      </c>
    </row>
    <row r="195" spans="9:15" x14ac:dyDescent="0.45">
      <c r="I195" t="s">
        <v>434</v>
      </c>
      <c r="J195" t="s">
        <v>435</v>
      </c>
      <c r="K195">
        <v>50247.849246167578</v>
      </c>
      <c r="M195" t="s">
        <v>434</v>
      </c>
      <c r="N195" t="s">
        <v>435</v>
      </c>
      <c r="O195">
        <v>32323.545645998514</v>
      </c>
    </row>
    <row r="196" spans="9:15" x14ac:dyDescent="0.45">
      <c r="I196" t="s">
        <v>436</v>
      </c>
      <c r="J196" t="s">
        <v>437</v>
      </c>
      <c r="M196" t="s">
        <v>436</v>
      </c>
      <c r="N196" t="s">
        <v>437</v>
      </c>
    </row>
    <row r="197" spans="9:15" x14ac:dyDescent="0.45">
      <c r="I197" t="s">
        <v>41</v>
      </c>
      <c r="J197" t="s">
        <v>438</v>
      </c>
      <c r="K197">
        <v>51679.888380752695</v>
      </c>
      <c r="M197" t="s">
        <v>41</v>
      </c>
      <c r="N197" t="s">
        <v>438</v>
      </c>
      <c r="O197">
        <v>29608.007151395595</v>
      </c>
    </row>
    <row r="198" spans="9:15" x14ac:dyDescent="0.45">
      <c r="I198" t="s">
        <v>439</v>
      </c>
      <c r="J198" t="s">
        <v>440</v>
      </c>
      <c r="K198">
        <v>18523.681015300037</v>
      </c>
      <c r="M198" t="s">
        <v>439</v>
      </c>
      <c r="N198" t="s">
        <v>440</v>
      </c>
      <c r="O198">
        <v>12679.057475323354</v>
      </c>
    </row>
    <row r="199" spans="9:15" x14ac:dyDescent="0.45">
      <c r="I199" t="s">
        <v>441</v>
      </c>
      <c r="J199" t="s">
        <v>442</v>
      </c>
      <c r="K199">
        <v>4371.1113585726471</v>
      </c>
      <c r="M199" t="s">
        <v>441</v>
      </c>
      <c r="N199" t="s">
        <v>442</v>
      </c>
      <c r="O199">
        <v>5769.9823663320321</v>
      </c>
    </row>
    <row r="200" spans="9:15" x14ac:dyDescent="0.45">
      <c r="I200" t="s">
        <v>443</v>
      </c>
      <c r="J200" t="s">
        <v>444</v>
      </c>
      <c r="K200">
        <v>8214.9707295775515</v>
      </c>
      <c r="M200" t="s">
        <v>443</v>
      </c>
      <c r="N200" t="s">
        <v>444</v>
      </c>
      <c r="O200">
        <v>6500.0804396445519</v>
      </c>
    </row>
    <row r="201" spans="9:15" x14ac:dyDescent="0.45">
      <c r="I201" t="s">
        <v>445</v>
      </c>
      <c r="J201" t="s">
        <v>446</v>
      </c>
      <c r="K201">
        <v>68078.194617552319</v>
      </c>
      <c r="M201" t="s">
        <v>445</v>
      </c>
      <c r="N201" t="s">
        <v>446</v>
      </c>
      <c r="O201">
        <v>44398.453410387454</v>
      </c>
    </row>
    <row r="202" spans="9:15" x14ac:dyDescent="0.45">
      <c r="I202" t="s">
        <v>447</v>
      </c>
      <c r="J202" t="s">
        <v>448</v>
      </c>
      <c r="M202" t="s">
        <v>447</v>
      </c>
      <c r="N202" t="s">
        <v>448</v>
      </c>
    </row>
    <row r="203" spans="9:15" x14ac:dyDescent="0.45">
      <c r="I203" t="s">
        <v>107</v>
      </c>
      <c r="J203" t="s">
        <v>449</v>
      </c>
      <c r="K203">
        <v>126046.35485561157</v>
      </c>
      <c r="M203" t="s">
        <v>107</v>
      </c>
      <c r="N203" t="s">
        <v>449</v>
      </c>
      <c r="O203">
        <v>102545.86329127896</v>
      </c>
    </row>
    <row r="204" spans="9:15" x14ac:dyDescent="0.45">
      <c r="I204" t="s">
        <v>78</v>
      </c>
      <c r="J204" t="s">
        <v>450</v>
      </c>
      <c r="K204">
        <v>49558.668912013651</v>
      </c>
      <c r="M204" t="s">
        <v>78</v>
      </c>
      <c r="N204" t="s">
        <v>450</v>
      </c>
      <c r="O204">
        <v>20201.858456166166</v>
      </c>
    </row>
    <row r="205" spans="9:15" x14ac:dyDescent="0.45">
      <c r="I205" t="s">
        <v>451</v>
      </c>
      <c r="J205" t="s">
        <v>452</v>
      </c>
      <c r="K205">
        <v>47404.96484375</v>
      </c>
      <c r="M205" t="s">
        <v>451</v>
      </c>
      <c r="N205" t="s">
        <v>452</v>
      </c>
      <c r="O205">
        <v>23994.013671875</v>
      </c>
    </row>
    <row r="206" spans="9:15" x14ac:dyDescent="0.45">
      <c r="I206" t="s">
        <v>453</v>
      </c>
      <c r="J206" t="s">
        <v>454</v>
      </c>
      <c r="K206">
        <v>3710.8604043459572</v>
      </c>
      <c r="M206" t="s">
        <v>453</v>
      </c>
      <c r="N206" t="s">
        <v>454</v>
      </c>
      <c r="O206">
        <v>1780.7417163686316</v>
      </c>
    </row>
    <row r="207" spans="9:15" x14ac:dyDescent="0.45">
      <c r="I207" t="s">
        <v>455</v>
      </c>
      <c r="J207" t="s">
        <v>456</v>
      </c>
      <c r="K207">
        <v>10973.710171580451</v>
      </c>
      <c r="M207" t="s">
        <v>455</v>
      </c>
      <c r="N207" t="s">
        <v>456</v>
      </c>
      <c r="O207">
        <v>5353.196952980793</v>
      </c>
    </row>
    <row r="208" spans="9:15" x14ac:dyDescent="0.45">
      <c r="I208" t="s">
        <v>112</v>
      </c>
      <c r="J208" t="s">
        <v>457</v>
      </c>
      <c r="K208">
        <v>71375.372789028523</v>
      </c>
      <c r="M208" t="s">
        <v>112</v>
      </c>
      <c r="N208" t="s">
        <v>457</v>
      </c>
      <c r="O208">
        <v>53930.827387262187</v>
      </c>
    </row>
    <row r="209" spans="9:15" x14ac:dyDescent="0.45">
      <c r="I209" t="s">
        <v>458</v>
      </c>
      <c r="J209" t="s">
        <v>459</v>
      </c>
      <c r="K209">
        <v>2115.81616210938</v>
      </c>
      <c r="M209" t="s">
        <v>458</v>
      </c>
      <c r="N209" t="s">
        <v>459</v>
      </c>
      <c r="O209">
        <v>4217.01025390625</v>
      </c>
    </row>
    <row r="210" spans="9:15" x14ac:dyDescent="0.45">
      <c r="I210" t="s">
        <v>460</v>
      </c>
      <c r="J210" t="s">
        <v>461</v>
      </c>
      <c r="K210">
        <v>5070.6486207417975</v>
      </c>
      <c r="M210" t="s">
        <v>460</v>
      </c>
      <c r="N210" t="s">
        <v>461</v>
      </c>
      <c r="O210">
        <v>2994.2803271487464</v>
      </c>
    </row>
    <row r="211" spans="9:15" x14ac:dyDescent="0.45">
      <c r="I211" t="s">
        <v>19</v>
      </c>
      <c r="J211" t="s">
        <v>462</v>
      </c>
      <c r="K211">
        <v>150689.30162582558</v>
      </c>
      <c r="M211" t="s">
        <v>19</v>
      </c>
      <c r="N211" t="s">
        <v>462</v>
      </c>
      <c r="O211">
        <v>87156.187383315017</v>
      </c>
    </row>
    <row r="212" spans="9:15" x14ac:dyDescent="0.45">
      <c r="I212" t="s">
        <v>463</v>
      </c>
      <c r="J212" t="s">
        <v>464</v>
      </c>
      <c r="K212">
        <v>2674.8931133983069</v>
      </c>
      <c r="M212" t="s">
        <v>463</v>
      </c>
      <c r="N212" t="s">
        <v>464</v>
      </c>
      <c r="O212">
        <v>2353.7823528368081</v>
      </c>
    </row>
    <row r="213" spans="9:15" x14ac:dyDescent="0.45">
      <c r="I213" t="s">
        <v>465</v>
      </c>
      <c r="J213" t="s">
        <v>466</v>
      </c>
      <c r="K213">
        <v>3522.305880091194</v>
      </c>
      <c r="M213" t="s">
        <v>465</v>
      </c>
      <c r="N213" t="s">
        <v>466</v>
      </c>
      <c r="O213">
        <v>2560.0498580759267</v>
      </c>
    </row>
    <row r="214" spans="9:15" x14ac:dyDescent="0.45">
      <c r="I214" t="s">
        <v>30</v>
      </c>
      <c r="J214" t="s">
        <v>467</v>
      </c>
      <c r="K214">
        <v>13264.027090968028</v>
      </c>
      <c r="M214" t="s">
        <v>30</v>
      </c>
      <c r="N214" t="s">
        <v>467</v>
      </c>
      <c r="O214">
        <v>7933.7369785899909</v>
      </c>
    </row>
    <row r="215" spans="9:15" x14ac:dyDescent="0.45">
      <c r="I215" t="s">
        <v>468</v>
      </c>
      <c r="J215" t="s">
        <v>469</v>
      </c>
      <c r="M215" t="s">
        <v>468</v>
      </c>
      <c r="N215" t="s">
        <v>469</v>
      </c>
      <c r="O215">
        <v>52247.207827641512</v>
      </c>
    </row>
    <row r="216" spans="9:15" x14ac:dyDescent="0.45">
      <c r="I216" t="s">
        <v>470</v>
      </c>
      <c r="J216" t="s">
        <v>471</v>
      </c>
      <c r="K216">
        <v>1601.9646660233948</v>
      </c>
      <c r="M216" t="s">
        <v>470</v>
      </c>
      <c r="N216" t="s">
        <v>471</v>
      </c>
      <c r="O216">
        <v>1341.3899967872794</v>
      </c>
    </row>
    <row r="217" spans="9:15" x14ac:dyDescent="0.45">
      <c r="I217" t="s">
        <v>33</v>
      </c>
      <c r="J217" t="s">
        <v>472</v>
      </c>
      <c r="K217">
        <v>32781.014241203149</v>
      </c>
      <c r="M217" t="s">
        <v>33</v>
      </c>
      <c r="N217" t="s">
        <v>472</v>
      </c>
      <c r="O217">
        <v>14523.53903407022</v>
      </c>
    </row>
    <row r="218" spans="9:15" x14ac:dyDescent="0.45">
      <c r="I218" t="s">
        <v>473</v>
      </c>
      <c r="J218" t="s">
        <v>474</v>
      </c>
      <c r="K218">
        <v>5768.0270956302038</v>
      </c>
      <c r="M218" t="s">
        <v>473</v>
      </c>
      <c r="N218" t="s">
        <v>474</v>
      </c>
      <c r="O218">
        <v>4441.3573098185279</v>
      </c>
    </row>
    <row r="219" spans="9:15" x14ac:dyDescent="0.45">
      <c r="I219" t="s">
        <v>475</v>
      </c>
      <c r="J219" t="s">
        <v>476</v>
      </c>
      <c r="M219" t="s">
        <v>475</v>
      </c>
      <c r="N219" t="s">
        <v>476</v>
      </c>
      <c r="O219">
        <v>1154.8868630410666</v>
      </c>
    </row>
    <row r="220" spans="9:15" x14ac:dyDescent="0.45">
      <c r="I220" t="s">
        <v>477</v>
      </c>
      <c r="J220" t="s">
        <v>478</v>
      </c>
      <c r="K220">
        <v>5517.4211355870366</v>
      </c>
      <c r="M220" t="s">
        <v>477</v>
      </c>
      <c r="N220" t="s">
        <v>478</v>
      </c>
      <c r="O220">
        <v>4158.7420491889106</v>
      </c>
    </row>
    <row r="221" spans="9:15" x14ac:dyDescent="0.45">
      <c r="I221" t="s">
        <v>479</v>
      </c>
      <c r="J221" t="s">
        <v>480</v>
      </c>
      <c r="K221">
        <v>28639.983567456977</v>
      </c>
      <c r="M221" t="s">
        <v>479</v>
      </c>
      <c r="N221" t="s">
        <v>480</v>
      </c>
      <c r="O221">
        <v>16566.138189669487</v>
      </c>
    </row>
    <row r="222" spans="9:15" x14ac:dyDescent="0.45">
      <c r="I222" t="s">
        <v>481</v>
      </c>
      <c r="J222" t="s">
        <v>482</v>
      </c>
      <c r="K222">
        <v>6241.8561446463773</v>
      </c>
      <c r="M222" t="s">
        <v>481</v>
      </c>
      <c r="N222" t="s">
        <v>482</v>
      </c>
      <c r="O222">
        <v>3171.5090583274136</v>
      </c>
    </row>
    <row r="223" spans="9:15" x14ac:dyDescent="0.45">
      <c r="I223" t="s">
        <v>483</v>
      </c>
      <c r="J223" t="s">
        <v>484</v>
      </c>
      <c r="K223">
        <v>21800.526598982215</v>
      </c>
      <c r="M223" t="s">
        <v>483</v>
      </c>
      <c r="N223" t="s">
        <v>484</v>
      </c>
      <c r="O223">
        <v>16543.574305137172</v>
      </c>
    </row>
    <row r="224" spans="9:15" x14ac:dyDescent="0.45">
      <c r="I224" t="s">
        <v>485</v>
      </c>
      <c r="J224" t="s">
        <v>486</v>
      </c>
      <c r="K224">
        <v>48132.356430542954</v>
      </c>
      <c r="M224" t="s">
        <v>485</v>
      </c>
      <c r="N224" t="s">
        <v>486</v>
      </c>
      <c r="O224">
        <v>30147.99036725414</v>
      </c>
    </row>
    <row r="225" spans="9:15" x14ac:dyDescent="0.45">
      <c r="I225" t="s">
        <v>55</v>
      </c>
      <c r="J225" t="s">
        <v>487</v>
      </c>
      <c r="K225">
        <v>57186.371353817427</v>
      </c>
      <c r="M225" t="s">
        <v>55</v>
      </c>
      <c r="N225" t="s">
        <v>487</v>
      </c>
      <c r="O225">
        <v>31336.204385888104</v>
      </c>
    </row>
    <row r="226" spans="9:15" x14ac:dyDescent="0.45">
      <c r="I226" t="s">
        <v>96</v>
      </c>
      <c r="J226" t="s">
        <v>488</v>
      </c>
      <c r="K226">
        <v>71844.912988057898</v>
      </c>
      <c r="M226" t="s">
        <v>96</v>
      </c>
      <c r="N226" t="s">
        <v>488</v>
      </c>
      <c r="O226">
        <v>48772.069605727731</v>
      </c>
    </row>
    <row r="227" spans="9:15" x14ac:dyDescent="0.45">
      <c r="I227" t="s">
        <v>489</v>
      </c>
      <c r="J227" t="s">
        <v>490</v>
      </c>
      <c r="K227">
        <v>11799.202879320083</v>
      </c>
      <c r="M227" t="s">
        <v>489</v>
      </c>
      <c r="N227" t="s">
        <v>490</v>
      </c>
      <c r="O227">
        <v>8391.0700608460193</v>
      </c>
    </row>
    <row r="228" spans="9:15" x14ac:dyDescent="0.45">
      <c r="I228" t="s">
        <v>491</v>
      </c>
      <c r="J228" t="s">
        <v>492</v>
      </c>
      <c r="K228">
        <v>53768.657394566202</v>
      </c>
      <c r="M228" t="s">
        <v>491</v>
      </c>
      <c r="N228" t="s">
        <v>492</v>
      </c>
      <c r="O228">
        <v>44587.591150076594</v>
      </c>
    </row>
    <row r="229" spans="9:15" x14ac:dyDescent="0.45">
      <c r="I229" t="s">
        <v>493</v>
      </c>
      <c r="J229" t="s">
        <v>494</v>
      </c>
      <c r="K229">
        <v>33238.580034375351</v>
      </c>
      <c r="M229" t="s">
        <v>493</v>
      </c>
      <c r="N229" t="s">
        <v>494</v>
      </c>
      <c r="O229">
        <v>25435.228989436178</v>
      </c>
    </row>
    <row r="230" spans="9:15" x14ac:dyDescent="0.45">
      <c r="I230" t="s">
        <v>495</v>
      </c>
      <c r="J230" t="s">
        <v>496</v>
      </c>
      <c r="M230" t="s">
        <v>495</v>
      </c>
      <c r="N230" t="s">
        <v>496</v>
      </c>
    </row>
    <row r="231" spans="9:15" x14ac:dyDescent="0.45">
      <c r="I231" t="s">
        <v>497</v>
      </c>
      <c r="J231" t="s">
        <v>498</v>
      </c>
      <c r="K231">
        <v>37954.38765434712</v>
      </c>
      <c r="M231" t="s">
        <v>497</v>
      </c>
      <c r="N231" t="s">
        <v>498</v>
      </c>
      <c r="O231">
        <v>27484.641443249922</v>
      </c>
    </row>
    <row r="232" spans="9:15" x14ac:dyDescent="0.45">
      <c r="I232" t="s">
        <v>499</v>
      </c>
      <c r="J232" t="s">
        <v>500</v>
      </c>
      <c r="K232">
        <v>2742.6595218361299</v>
      </c>
      <c r="M232" t="s">
        <v>499</v>
      </c>
      <c r="N232" t="s">
        <v>500</v>
      </c>
      <c r="O232">
        <v>2377.511371857513</v>
      </c>
    </row>
    <row r="233" spans="9:15" x14ac:dyDescent="0.45">
      <c r="I233" t="s">
        <v>501</v>
      </c>
      <c r="J233" t="s">
        <v>502</v>
      </c>
      <c r="K233">
        <v>23509.7241651154</v>
      </c>
      <c r="M233" t="s">
        <v>501</v>
      </c>
      <c r="N233" t="s">
        <v>502</v>
      </c>
      <c r="O233">
        <v>12283.974340701076</v>
      </c>
    </row>
    <row r="234" spans="9:15" x14ac:dyDescent="0.45">
      <c r="I234" t="s">
        <v>503</v>
      </c>
      <c r="J234" t="s">
        <v>504</v>
      </c>
      <c r="K234">
        <v>38154.329161467787</v>
      </c>
      <c r="M234" t="s">
        <v>503</v>
      </c>
      <c r="N234" t="s">
        <v>504</v>
      </c>
      <c r="O234">
        <v>19866.19915716644</v>
      </c>
    </row>
    <row r="235" spans="9:15" x14ac:dyDescent="0.45">
      <c r="I235" t="s">
        <v>505</v>
      </c>
      <c r="J235" t="s">
        <v>506</v>
      </c>
      <c r="K235">
        <v>3365.4580900730589</v>
      </c>
      <c r="M235" t="s">
        <v>505</v>
      </c>
      <c r="N235" t="s">
        <v>506</v>
      </c>
      <c r="O235">
        <v>1879.6683551724268</v>
      </c>
    </row>
    <row r="236" spans="9:15" x14ac:dyDescent="0.45">
      <c r="I236" t="s">
        <v>18</v>
      </c>
      <c r="J236" t="s">
        <v>507</v>
      </c>
      <c r="K236">
        <v>24712.06585751352</v>
      </c>
      <c r="M236" t="s">
        <v>18</v>
      </c>
      <c r="N236" t="s">
        <v>507</v>
      </c>
      <c r="O236">
        <v>15791.171476220708</v>
      </c>
    </row>
    <row r="237" spans="9:15" x14ac:dyDescent="0.45">
      <c r="I237" t="s">
        <v>508</v>
      </c>
      <c r="J237" t="s">
        <v>509</v>
      </c>
      <c r="K237">
        <v>5405.9801161913865</v>
      </c>
      <c r="M237" t="s">
        <v>508</v>
      </c>
      <c r="N237" t="s">
        <v>509</v>
      </c>
      <c r="O237">
        <v>2975.4709747609231</v>
      </c>
    </row>
    <row r="238" spans="9:15" x14ac:dyDescent="0.45">
      <c r="I238" t="s">
        <v>510</v>
      </c>
      <c r="J238" t="s">
        <v>511</v>
      </c>
      <c r="K238">
        <v>21213.086250195294</v>
      </c>
      <c r="M238" t="s">
        <v>510</v>
      </c>
      <c r="N238" t="s">
        <v>511</v>
      </c>
      <c r="O238">
        <v>12714.813724036263</v>
      </c>
    </row>
    <row r="239" spans="9:15" x14ac:dyDescent="0.45">
      <c r="I239" t="s">
        <v>512</v>
      </c>
      <c r="J239" t="s">
        <v>513</v>
      </c>
      <c r="K239">
        <v>22984.687988850797</v>
      </c>
      <c r="M239" t="s">
        <v>512</v>
      </c>
      <c r="N239" t="s">
        <v>513</v>
      </c>
      <c r="O239">
        <v>15215.46122934712</v>
      </c>
    </row>
    <row r="240" spans="9:15" x14ac:dyDescent="0.45">
      <c r="I240" t="s">
        <v>514</v>
      </c>
      <c r="J240" t="s">
        <v>515</v>
      </c>
      <c r="K240">
        <v>4422.7788217239895</v>
      </c>
      <c r="M240" t="s">
        <v>514</v>
      </c>
      <c r="N240" t="s">
        <v>515</v>
      </c>
      <c r="O240">
        <v>3107.5718458796646</v>
      </c>
    </row>
    <row r="241" spans="9:15" x14ac:dyDescent="0.45">
      <c r="I241" t="s">
        <v>516</v>
      </c>
      <c r="J241" t="s">
        <v>517</v>
      </c>
      <c r="K241">
        <v>11271.564355007054</v>
      </c>
      <c r="M241" t="s">
        <v>516</v>
      </c>
      <c r="N241" t="s">
        <v>517</v>
      </c>
      <c r="O241">
        <v>7985.2389307889225</v>
      </c>
    </row>
    <row r="242" spans="9:15" x14ac:dyDescent="0.45">
      <c r="I242" t="s">
        <v>518</v>
      </c>
      <c r="J242" t="s">
        <v>519</v>
      </c>
      <c r="M242" t="s">
        <v>518</v>
      </c>
      <c r="N242" t="s">
        <v>519</v>
      </c>
      <c r="O242">
        <v>5471.7967940230246</v>
      </c>
    </row>
    <row r="243" spans="9:15" x14ac:dyDescent="0.45">
      <c r="I243" t="s">
        <v>520</v>
      </c>
      <c r="J243" t="s">
        <v>521</v>
      </c>
      <c r="K243">
        <v>10973.710171580447</v>
      </c>
      <c r="M243" t="s">
        <v>520</v>
      </c>
      <c r="N243" t="s">
        <v>521</v>
      </c>
      <c r="O243">
        <v>5353.196952980793</v>
      </c>
    </row>
    <row r="244" spans="9:15" x14ac:dyDescent="0.45">
      <c r="I244" t="s">
        <v>522</v>
      </c>
      <c r="J244" t="s">
        <v>523</v>
      </c>
      <c r="K244">
        <v>5517.4211355870384</v>
      </c>
      <c r="M244" t="s">
        <v>522</v>
      </c>
      <c r="N244" t="s">
        <v>523</v>
      </c>
      <c r="O244">
        <v>4158.7420491889106</v>
      </c>
    </row>
    <row r="245" spans="9:15" x14ac:dyDescent="0.45">
      <c r="I245" t="s">
        <v>524</v>
      </c>
      <c r="J245" t="s">
        <v>525</v>
      </c>
      <c r="K245">
        <v>36328.513006568486</v>
      </c>
      <c r="M245" t="s">
        <v>524</v>
      </c>
      <c r="N245" t="s">
        <v>525</v>
      </c>
      <c r="O245">
        <v>29825.462875301695</v>
      </c>
    </row>
    <row r="246" spans="9:15" x14ac:dyDescent="0.45">
      <c r="I246" t="s">
        <v>65</v>
      </c>
      <c r="J246" t="s">
        <v>526</v>
      </c>
      <c r="K246">
        <v>14521.008093763836</v>
      </c>
      <c r="M246" t="s">
        <v>65</v>
      </c>
      <c r="N246" t="s">
        <v>526</v>
      </c>
      <c r="O246">
        <v>10782.543838244115</v>
      </c>
    </row>
    <row r="247" spans="9:15" x14ac:dyDescent="0.45">
      <c r="I247" t="s">
        <v>527</v>
      </c>
      <c r="J247" t="s">
        <v>528</v>
      </c>
      <c r="K247">
        <v>45639.019273594407</v>
      </c>
      <c r="M247" t="s">
        <v>527</v>
      </c>
      <c r="N247" t="s">
        <v>528</v>
      </c>
      <c r="O247">
        <v>25890.054890105785</v>
      </c>
    </row>
    <row r="248" spans="9:15" x14ac:dyDescent="0.45">
      <c r="I248" t="s">
        <v>529</v>
      </c>
      <c r="J248" t="s">
        <v>530</v>
      </c>
      <c r="M248" t="s">
        <v>529</v>
      </c>
      <c r="N248" t="s">
        <v>530</v>
      </c>
      <c r="O248">
        <v>3775.7556591636967</v>
      </c>
    </row>
    <row r="249" spans="9:15" x14ac:dyDescent="0.45">
      <c r="I249" t="s">
        <v>133</v>
      </c>
      <c r="J249" t="s">
        <v>531</v>
      </c>
      <c r="K249">
        <v>4220.79638671875</v>
      </c>
      <c r="M249" t="s">
        <v>133</v>
      </c>
      <c r="N249" t="s">
        <v>531</v>
      </c>
      <c r="O249">
        <v>2317.27978515625</v>
      </c>
    </row>
    <row r="250" spans="9:15" x14ac:dyDescent="0.45">
      <c r="I250" t="s">
        <v>113</v>
      </c>
      <c r="J250" t="s">
        <v>532</v>
      </c>
      <c r="K250">
        <v>3273.2671741363974</v>
      </c>
      <c r="M250" t="s">
        <v>113</v>
      </c>
      <c r="N250" t="s">
        <v>532</v>
      </c>
      <c r="O250">
        <v>2189.9648591900318</v>
      </c>
    </row>
    <row r="251" spans="9:15" x14ac:dyDescent="0.45">
      <c r="I251" t="s">
        <v>48</v>
      </c>
      <c r="J251" t="s">
        <v>533</v>
      </c>
      <c r="K251">
        <v>18550.462890625</v>
      </c>
      <c r="M251" t="s">
        <v>48</v>
      </c>
      <c r="N251" t="s">
        <v>533</v>
      </c>
      <c r="O251">
        <v>9921.833984375</v>
      </c>
    </row>
    <row r="252" spans="9:15" x14ac:dyDescent="0.45">
      <c r="I252" t="s">
        <v>534</v>
      </c>
      <c r="J252" t="s">
        <v>535</v>
      </c>
      <c r="K252">
        <v>24933.057303754314</v>
      </c>
      <c r="M252" t="s">
        <v>534</v>
      </c>
      <c r="N252" t="s">
        <v>535</v>
      </c>
      <c r="O252">
        <v>14040.938557819722</v>
      </c>
    </row>
    <row r="253" spans="9:15" x14ac:dyDescent="0.45">
      <c r="I253" t="s">
        <v>54</v>
      </c>
      <c r="J253" t="s">
        <v>536</v>
      </c>
      <c r="K253">
        <v>36417.874162496009</v>
      </c>
      <c r="M253" t="s">
        <v>54</v>
      </c>
      <c r="N253" t="s">
        <v>536</v>
      </c>
      <c r="O253">
        <v>22168.611418967605</v>
      </c>
    </row>
    <row r="254" spans="9:15" x14ac:dyDescent="0.45">
      <c r="I254" t="s">
        <v>109</v>
      </c>
      <c r="J254" t="s">
        <v>537</v>
      </c>
      <c r="K254">
        <v>85809.900384635912</v>
      </c>
      <c r="M254" t="s">
        <v>109</v>
      </c>
      <c r="N254" t="s">
        <v>537</v>
      </c>
      <c r="O254">
        <v>56849.46979231594</v>
      </c>
    </row>
    <row r="255" spans="9:15" x14ac:dyDescent="0.45">
      <c r="I255" t="s">
        <v>50</v>
      </c>
      <c r="J255" t="s">
        <v>538</v>
      </c>
      <c r="K255">
        <v>11878.552870684822</v>
      </c>
      <c r="M255" t="s">
        <v>50</v>
      </c>
      <c r="N255" t="s">
        <v>538</v>
      </c>
      <c r="O255">
        <v>6799.5733284218295</v>
      </c>
    </row>
    <row r="256" spans="9:15" x14ac:dyDescent="0.45">
      <c r="I256" t="s">
        <v>539</v>
      </c>
      <c r="J256" t="s">
        <v>540</v>
      </c>
      <c r="K256">
        <v>21272.080067366205</v>
      </c>
      <c r="M256" t="s">
        <v>539</v>
      </c>
      <c r="N256" t="s">
        <v>540</v>
      </c>
      <c r="O256">
        <v>12378.842727427951</v>
      </c>
    </row>
    <row r="257" spans="9:15" x14ac:dyDescent="0.45">
      <c r="I257" t="s">
        <v>541</v>
      </c>
      <c r="J257" t="s">
        <v>542</v>
      </c>
      <c r="M257" t="s">
        <v>541</v>
      </c>
      <c r="N257" t="s">
        <v>542</v>
      </c>
    </row>
    <row r="258" spans="9:15" x14ac:dyDescent="0.45">
      <c r="I258" t="s">
        <v>543</v>
      </c>
      <c r="J258" t="s">
        <v>544</v>
      </c>
      <c r="M258" t="s">
        <v>543</v>
      </c>
      <c r="N258" t="s">
        <v>544</v>
      </c>
    </row>
    <row r="259" spans="9:15" x14ac:dyDescent="0.45">
      <c r="I259" t="s">
        <v>545</v>
      </c>
      <c r="J259" t="s">
        <v>546</v>
      </c>
      <c r="M259" t="s">
        <v>545</v>
      </c>
      <c r="N259" t="s">
        <v>546</v>
      </c>
      <c r="O259">
        <v>32573.716681217371</v>
      </c>
    </row>
    <row r="260" spans="9:15" x14ac:dyDescent="0.45">
      <c r="I260" t="s">
        <v>547</v>
      </c>
      <c r="J260" t="s">
        <v>548</v>
      </c>
      <c r="K260">
        <v>16385.506556545766</v>
      </c>
      <c r="M260" t="s">
        <v>547</v>
      </c>
      <c r="N260" t="s">
        <v>548</v>
      </c>
      <c r="O260">
        <v>7671.5819778083951</v>
      </c>
    </row>
    <row r="261" spans="9:15" x14ac:dyDescent="0.45">
      <c r="I261" t="s">
        <v>549</v>
      </c>
      <c r="J261" t="s">
        <v>550</v>
      </c>
      <c r="K261">
        <v>3605.6073669173516</v>
      </c>
      <c r="M261" t="s">
        <v>549</v>
      </c>
      <c r="N261" t="s">
        <v>550</v>
      </c>
      <c r="O261">
        <v>2965.8414325737776</v>
      </c>
    </row>
    <row r="262" spans="9:15" x14ac:dyDescent="0.45">
      <c r="I262" t="s">
        <v>551</v>
      </c>
      <c r="J262" t="s">
        <v>552</v>
      </c>
      <c r="K262">
        <v>24526.870445010471</v>
      </c>
      <c r="M262" t="s">
        <v>551</v>
      </c>
      <c r="N262" t="s">
        <v>552</v>
      </c>
      <c r="O262">
        <v>15276.489247409138</v>
      </c>
    </row>
    <row r="263" spans="9:15" x14ac:dyDescent="0.45">
      <c r="I263" t="s">
        <v>553</v>
      </c>
      <c r="J263" t="s">
        <v>554</v>
      </c>
      <c r="K263">
        <v>8736.8160677253818</v>
      </c>
      <c r="M263" t="s">
        <v>553</v>
      </c>
      <c r="N263" t="s">
        <v>554</v>
      </c>
      <c r="O263">
        <v>5681.778127688427</v>
      </c>
    </row>
    <row r="264" spans="9:15" x14ac:dyDescent="0.45">
      <c r="I264" t="s">
        <v>555</v>
      </c>
      <c r="J264" t="s">
        <v>556</v>
      </c>
      <c r="K264">
        <v>17864.416014511753</v>
      </c>
      <c r="M264" t="s">
        <v>555</v>
      </c>
      <c r="N264" t="s">
        <v>556</v>
      </c>
      <c r="O264">
        <v>8714.9196635613189</v>
      </c>
    </row>
    <row r="265" spans="9:15" x14ac:dyDescent="0.45">
      <c r="I265" t="s">
        <v>557</v>
      </c>
      <c r="J265" t="s">
        <v>558</v>
      </c>
      <c r="M265" t="s">
        <v>557</v>
      </c>
      <c r="N265" t="s">
        <v>558</v>
      </c>
    </row>
    <row r="266" spans="9:15" x14ac:dyDescent="0.45">
      <c r="I266" t="s">
        <v>110</v>
      </c>
      <c r="J266" t="s">
        <v>559</v>
      </c>
      <c r="K266">
        <v>15456.19899336581</v>
      </c>
      <c r="M266" t="s">
        <v>110</v>
      </c>
      <c r="N266" t="s">
        <v>559</v>
      </c>
      <c r="O266">
        <v>13397.523481334631</v>
      </c>
    </row>
    <row r="267" spans="9:15" x14ac:dyDescent="0.45">
      <c r="I267" t="s">
        <v>560</v>
      </c>
      <c r="J267" t="s">
        <v>561</v>
      </c>
      <c r="K267">
        <v>4214.8927780479917</v>
      </c>
      <c r="M267" t="s">
        <v>560</v>
      </c>
      <c r="N267" t="s">
        <v>561</v>
      </c>
      <c r="O267">
        <v>3337.4730688769632</v>
      </c>
    </row>
    <row r="268" spans="9:15" x14ac:dyDescent="0.45">
      <c r="I268" t="s">
        <v>119</v>
      </c>
      <c r="J268" t="s">
        <v>562</v>
      </c>
      <c r="K268">
        <v>5928.0806252756047</v>
      </c>
      <c r="M268" t="s">
        <v>119</v>
      </c>
      <c r="N268" t="s">
        <v>562</v>
      </c>
      <c r="O268">
        <v>4045.8986473879763</v>
      </c>
    </row>
  </sheetData>
  <autoFilter ref="A1:E98" xr:uid="{86337F55-8C65-4BFA-8A20-61FFBE98CEFE}">
    <filterColumn colId="2">
      <filters>
        <filter val="0.24"/>
        <filter val="0.246"/>
        <filter val="0.301"/>
        <filter val="0.416"/>
        <filter val="0.422"/>
        <filter val="0.48"/>
        <filter val="0.481"/>
        <filter val="0.511"/>
        <filter val="0.539"/>
        <filter val="0.567"/>
        <filter val="0.572"/>
        <filter val="0.586"/>
        <filter val="0.587"/>
        <filter val="0.594"/>
        <filter val="0.607"/>
        <filter val="0.612"/>
        <filter val="0.629"/>
        <filter val="0.641"/>
        <filter val="0.646"/>
        <filter val="0.67"/>
        <filter val="0.673"/>
        <filter val="0.692"/>
        <filter val="0.696"/>
        <filter val="0.719"/>
        <filter val="0.725"/>
        <filter val="0.727"/>
        <filter val="0.729"/>
        <filter val="0.742"/>
        <filter val="0.746"/>
        <filter val="0.812"/>
        <filter val="0.861"/>
        <filter val="0.869"/>
        <filter val="0.914"/>
        <filter val="0.919"/>
        <filter val="0.921"/>
        <filter val="0.94"/>
        <filter val="0.952"/>
        <filter val="0.958"/>
        <filter val="0.965"/>
        <filter val="0.988"/>
        <filter val="0.992"/>
        <filter val="0.997"/>
        <filter val="1.021"/>
        <filter val="1.058"/>
        <filter val="1.065"/>
        <filter val="1.097"/>
        <filter val="1.141"/>
        <filter val="1.146"/>
        <filter val="1.155"/>
        <filter val="1.177"/>
        <filter val="1.225"/>
        <filter val="1.263"/>
        <filter val="1.271"/>
        <filter val="1.278"/>
        <filter val="1.375"/>
        <filter val="1.465"/>
        <filter val="1.471"/>
        <filter val="1.476"/>
        <filter val="1.495"/>
        <filter val="1.5"/>
        <filter val="1.532"/>
        <filter val="1.584"/>
        <filter val="1.592"/>
        <filter val="1.633"/>
        <filter val="1.654"/>
        <filter val="1.678"/>
        <filter val="1.773"/>
        <filter val="1.887"/>
        <filter val="1.959"/>
        <filter val="13.504"/>
        <filter val="2.047"/>
        <filter val="2.115"/>
        <filter val="2.129"/>
        <filter val="2.134"/>
        <filter val="2.184"/>
        <filter val="2.349"/>
        <filter val="2.533"/>
        <filter val="2.618"/>
        <filter val="2.926"/>
        <filter val="3.077"/>
        <filter val="3.083"/>
        <filter val="4.474"/>
        <filter val="6.035"/>
        <filter val="7.623"/>
        <filter val="9.078"/>
        <filter val="Mortgage as a percentage of Income"/>
      </filters>
    </filterColumn>
    <filterColumn colId="4">
      <filters>
        <filter val="0.194"/>
        <filter val="0.235"/>
        <filter val="0.303"/>
        <filter val="0.336"/>
        <filter val="0.343"/>
        <filter val="0.379"/>
        <filter val="0.435"/>
        <filter val="0.44"/>
        <filter val="0.443"/>
        <filter val="0.45"/>
        <filter val="0.459"/>
        <filter val="0.461"/>
        <filter val="0.491"/>
        <filter val="0.498"/>
        <filter val="0.499"/>
        <filter val="0.504"/>
        <filter val="0.517"/>
        <filter val="0.527"/>
        <filter val="0.547"/>
        <filter val="0.558"/>
        <filter val="0.593"/>
        <filter val="0.619"/>
        <filter val="0.634"/>
        <filter val="0.64"/>
        <filter val="0.643"/>
        <filter val="0.648"/>
        <filter val="0.664"/>
        <filter val="0.667"/>
        <filter val="0.689"/>
        <filter val="0.753"/>
        <filter val="0.773"/>
        <filter val="0.781"/>
        <filter val="0.796"/>
        <filter val="0.831"/>
        <filter val="0.835"/>
        <filter val="0.84"/>
        <filter val="0.843"/>
        <filter val="0.875"/>
        <filter val="0.877"/>
        <filter val="0.888"/>
        <filter val="0.93"/>
        <filter val="0.932"/>
        <filter val="0.941"/>
        <filter val="0.945"/>
        <filter val="1.085"/>
        <filter val="1.09"/>
        <filter val="1.093"/>
        <filter val="1.1"/>
        <filter val="1.237"/>
        <filter val="1.244"/>
        <filter val="1.333"/>
        <filter val="1.36"/>
        <filter val="1.384"/>
        <filter val="1.481"/>
        <filter val="1.553"/>
        <filter val="1.615"/>
        <filter val="1.677"/>
        <filter val="1.702"/>
        <filter val="1.719"/>
        <filter val="1.75"/>
        <filter val="1.795"/>
        <filter val="1.857"/>
        <filter val="1.867"/>
        <filter val="1.886"/>
        <filter val="1.898"/>
        <filter val="1.94"/>
        <filter val="1.974"/>
        <filter val="1.986"/>
        <filter val="2.006"/>
        <filter val="2.086"/>
        <filter val="2.174"/>
        <filter val="2.182"/>
        <filter val="2.261"/>
        <filter val="2.288"/>
        <filter val="2.306"/>
        <filter val="2.317"/>
        <filter val="2.574"/>
        <filter val="2.673"/>
        <filter val="2.775"/>
        <filter val="3.361"/>
        <filter val="3.493"/>
        <filter val="5.455"/>
        <filter val="Mortgage as a percentage of Income"/>
      </filters>
    </filterColumn>
  </autoFilter>
  <sortState xmlns:xlrd2="http://schemas.microsoft.com/office/spreadsheetml/2017/richdata2" ref="A3:D98">
    <sortCondition ref="A3:A9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7268-D74F-48AE-9B83-CF90FD63230E}">
  <dimension ref="A1:I77"/>
  <sheetViews>
    <sheetView tabSelected="1" topLeftCell="D1" workbookViewId="0">
      <selection activeCell="U4" sqref="U4"/>
    </sheetView>
  </sheetViews>
  <sheetFormatPr defaultRowHeight="14.25" x14ac:dyDescent="0.45"/>
  <sheetData>
    <row r="1" spans="1:9" x14ac:dyDescent="0.45">
      <c r="B1">
        <v>2025</v>
      </c>
      <c r="C1">
        <v>2025</v>
      </c>
      <c r="D1">
        <v>2015</v>
      </c>
      <c r="E1">
        <v>2015</v>
      </c>
    </row>
    <row r="2" spans="1:9" x14ac:dyDescent="0.45">
      <c r="A2" t="s">
        <v>1</v>
      </c>
      <c r="B2" t="s">
        <v>564</v>
      </c>
      <c r="C2" t="s">
        <v>566</v>
      </c>
      <c r="D2" t="s">
        <v>564</v>
      </c>
      <c r="E2" t="s">
        <v>566</v>
      </c>
      <c r="F2" t="s">
        <v>567</v>
      </c>
      <c r="G2" t="s">
        <v>568</v>
      </c>
      <c r="H2" t="s">
        <v>569</v>
      </c>
      <c r="I2" t="s">
        <v>570</v>
      </c>
    </row>
    <row r="3" spans="1:9" x14ac:dyDescent="0.45">
      <c r="A3" t="s">
        <v>78</v>
      </c>
      <c r="B3">
        <v>49558.668912013651</v>
      </c>
      <c r="C3">
        <v>0.95200000000000007</v>
      </c>
      <c r="D3">
        <v>20201.858456166166</v>
      </c>
      <c r="E3">
        <v>1.0900000000000001</v>
      </c>
      <c r="F3">
        <f>B3/D3-1</f>
        <v>1.4531737522835169</v>
      </c>
      <c r="G3">
        <f>C3-E3</f>
        <v>-0.13800000000000001</v>
      </c>
      <c r="H3">
        <v>1</v>
      </c>
    </row>
    <row r="4" spans="1:9" x14ac:dyDescent="0.45">
      <c r="A4" t="s">
        <v>84</v>
      </c>
      <c r="B4">
        <v>42224.444535951698</v>
      </c>
      <c r="C4">
        <v>0.69200000000000006</v>
      </c>
      <c r="D4">
        <v>17652.947096756332</v>
      </c>
      <c r="E4">
        <v>0.93</v>
      </c>
      <c r="F4">
        <f>B4/D4-1</f>
        <v>1.3919204144508139</v>
      </c>
      <c r="G4">
        <f>C4-E4</f>
        <v>-0.23799999999999999</v>
      </c>
      <c r="H4">
        <v>1</v>
      </c>
    </row>
    <row r="5" spans="1:9" x14ac:dyDescent="0.45">
      <c r="A5" t="s">
        <v>36</v>
      </c>
      <c r="B5">
        <v>27146.381474728154</v>
      </c>
      <c r="C5">
        <v>1.278</v>
      </c>
      <c r="D5">
        <v>11571.706559893075</v>
      </c>
      <c r="E5">
        <v>1.3840000000000001</v>
      </c>
      <c r="F5">
        <f>B5/D5-1</f>
        <v>1.3459272263968463</v>
      </c>
      <c r="G5">
        <f>C5-E5</f>
        <v>-0.10600000000000009</v>
      </c>
      <c r="H5">
        <v>1</v>
      </c>
    </row>
    <row r="6" spans="1:9" x14ac:dyDescent="0.45">
      <c r="A6" t="s">
        <v>58</v>
      </c>
      <c r="B6">
        <v>34806.948319581694</v>
      </c>
      <c r="C6">
        <v>1.097</v>
      </c>
      <c r="D6">
        <v>15033.061265649618</v>
      </c>
      <c r="E6">
        <v>1.702</v>
      </c>
      <c r="F6">
        <f>B6/D6-1</f>
        <v>1.3153599725636185</v>
      </c>
      <c r="G6">
        <f>C6-E6</f>
        <v>-0.60499999999999998</v>
      </c>
      <c r="H6">
        <v>1</v>
      </c>
    </row>
    <row r="7" spans="1:9" x14ac:dyDescent="0.45">
      <c r="A7" t="s">
        <v>62</v>
      </c>
      <c r="B7">
        <v>28285.073280298224</v>
      </c>
      <c r="C7">
        <v>1.6540000000000001</v>
      </c>
      <c r="D7">
        <v>12269.652893276785</v>
      </c>
      <c r="E7">
        <v>2.0859999999999999</v>
      </c>
      <c r="F7">
        <f>B7/D7-1</f>
        <v>1.3052871606333025</v>
      </c>
      <c r="G7">
        <f>C7-E7</f>
        <v>-0.43199999999999972</v>
      </c>
      <c r="H7">
        <v>1</v>
      </c>
    </row>
    <row r="8" spans="1:9" x14ac:dyDescent="0.45">
      <c r="A8" t="s">
        <v>61</v>
      </c>
      <c r="B8">
        <v>9646.7698438325478</v>
      </c>
      <c r="C8">
        <v>1.4709999999999999</v>
      </c>
      <c r="D8">
        <v>4212.2357808942761</v>
      </c>
      <c r="E8">
        <v>1.94</v>
      </c>
      <c r="F8">
        <f>B8/D8-1</f>
        <v>1.2901780302964183</v>
      </c>
      <c r="G8">
        <f>C8-E8</f>
        <v>-0.46900000000000008</v>
      </c>
      <c r="H8">
        <v>1</v>
      </c>
    </row>
    <row r="9" spans="1:9" x14ac:dyDescent="0.45">
      <c r="A9" t="s">
        <v>33</v>
      </c>
      <c r="B9">
        <v>32781.014241203149</v>
      </c>
      <c r="C9">
        <v>1.4650000000000001</v>
      </c>
      <c r="D9">
        <v>14523.53903407022</v>
      </c>
      <c r="E9">
        <v>1.5530000000000002</v>
      </c>
      <c r="F9">
        <f>B9/D9-1</f>
        <v>1.2570954754418611</v>
      </c>
      <c r="G9">
        <f>C9-E9</f>
        <v>-8.8000000000000078E-2</v>
      </c>
      <c r="H9">
        <v>1</v>
      </c>
    </row>
    <row r="10" spans="1:9" x14ac:dyDescent="0.45">
      <c r="A10" t="s">
        <v>60</v>
      </c>
      <c r="B10">
        <v>49645.745685441332</v>
      </c>
      <c r="C10">
        <v>0.95799999999999996</v>
      </c>
      <c r="D10">
        <v>22187.17739422802</v>
      </c>
      <c r="E10">
        <v>1.1000000000000001</v>
      </c>
      <c r="F10">
        <f>B10/D10-1</f>
        <v>1.2375872695891745</v>
      </c>
      <c r="G10">
        <f>C10-E10</f>
        <v>-0.14200000000000013</v>
      </c>
      <c r="H10">
        <v>1</v>
      </c>
    </row>
    <row r="11" spans="1:9" x14ac:dyDescent="0.45">
      <c r="A11" t="s">
        <v>93</v>
      </c>
      <c r="B11">
        <v>62312.07421875</v>
      </c>
      <c r="C11">
        <v>0.61199999999999999</v>
      </c>
      <c r="D11">
        <v>29315.724609375</v>
      </c>
      <c r="E11">
        <v>0.64</v>
      </c>
      <c r="F11">
        <f>B11/D11-1</f>
        <v>1.1255512203448301</v>
      </c>
      <c r="G11">
        <f>C11-E11</f>
        <v>-2.8000000000000025E-2</v>
      </c>
      <c r="H11">
        <v>1</v>
      </c>
    </row>
    <row r="12" spans="1:9" x14ac:dyDescent="0.45">
      <c r="A12" t="s">
        <v>53</v>
      </c>
      <c r="B12">
        <v>23345.496800010747</v>
      </c>
      <c r="C12">
        <v>0.997</v>
      </c>
      <c r="D12">
        <v>11066.154068834705</v>
      </c>
      <c r="E12">
        <v>1.2370000000000001</v>
      </c>
      <c r="F12">
        <f>B12/D12-1</f>
        <v>1.1096305595236564</v>
      </c>
      <c r="G12">
        <f>C12-E12</f>
        <v>-0.2400000000000001</v>
      </c>
      <c r="H12">
        <v>1</v>
      </c>
    </row>
    <row r="13" spans="1:9" x14ac:dyDescent="0.45">
      <c r="A13" t="s">
        <v>76</v>
      </c>
      <c r="B13">
        <v>11159.985647609126</v>
      </c>
      <c r="C13">
        <v>1.177</v>
      </c>
      <c r="D13">
        <v>5425.0359909104618</v>
      </c>
      <c r="E13">
        <v>1.244</v>
      </c>
      <c r="F13">
        <f>B13/D13-1</f>
        <v>1.0571265640094292</v>
      </c>
      <c r="G13">
        <f>C13-E13</f>
        <v>-6.6999999999999948E-2</v>
      </c>
      <c r="H13">
        <v>1</v>
      </c>
    </row>
    <row r="14" spans="1:9" x14ac:dyDescent="0.45">
      <c r="A14" t="s">
        <v>52</v>
      </c>
      <c r="B14">
        <v>18614.988069120322</v>
      </c>
      <c r="C14">
        <v>1.4950000000000001</v>
      </c>
      <c r="D14">
        <v>9197.6183820427232</v>
      </c>
      <c r="E14">
        <v>2.673</v>
      </c>
      <c r="F14">
        <f>B14/D14-1</f>
        <v>1.0238921964259697</v>
      </c>
      <c r="G14">
        <f>C14-E14</f>
        <v>-1.1779999999999999</v>
      </c>
      <c r="H14">
        <v>1</v>
      </c>
    </row>
    <row r="15" spans="1:9" x14ac:dyDescent="0.45">
      <c r="A15" t="s">
        <v>16</v>
      </c>
      <c r="B15">
        <v>27104.870267746301</v>
      </c>
      <c r="C15">
        <v>2.129</v>
      </c>
      <c r="D15">
        <v>13463.333151110473</v>
      </c>
      <c r="E15">
        <v>2.306</v>
      </c>
      <c r="F15">
        <f>B15/D15-1</f>
        <v>1.0132362442142089</v>
      </c>
      <c r="G15">
        <f>C15-E15</f>
        <v>-0.17700000000000005</v>
      </c>
      <c r="H15">
        <v>1</v>
      </c>
    </row>
    <row r="16" spans="1:9" x14ac:dyDescent="0.45">
      <c r="A16" t="s">
        <v>24</v>
      </c>
      <c r="B16">
        <v>22823.17952556931</v>
      </c>
      <c r="C16">
        <v>3.0830000000000002</v>
      </c>
      <c r="D16">
        <v>9756.8408483602598</v>
      </c>
      <c r="E16">
        <v>1.974</v>
      </c>
      <c r="F16">
        <f>B16/D16-1</f>
        <v>1.3391976850175831</v>
      </c>
      <c r="G16">
        <f>C16-E16</f>
        <v>1.1090000000000002</v>
      </c>
      <c r="I16">
        <v>1</v>
      </c>
    </row>
    <row r="17" spans="1:9" x14ac:dyDescent="0.45">
      <c r="A17" t="s">
        <v>63</v>
      </c>
      <c r="B17">
        <v>55285.899193430414</v>
      </c>
      <c r="C17">
        <v>0.91900000000000004</v>
      </c>
      <c r="D17">
        <v>26948.591937164463</v>
      </c>
      <c r="E17">
        <v>0.875</v>
      </c>
      <c r="F17">
        <f>B17/D17-1</f>
        <v>1.0515320177892606</v>
      </c>
      <c r="G17">
        <f>C17-E17</f>
        <v>4.4000000000000039E-2</v>
      </c>
      <c r="I17">
        <v>1</v>
      </c>
    </row>
    <row r="18" spans="1:9" x14ac:dyDescent="0.45">
      <c r="A18" t="s">
        <v>72</v>
      </c>
      <c r="B18">
        <v>71017.774425871685</v>
      </c>
      <c r="C18">
        <v>0.86099999999999999</v>
      </c>
      <c r="D18">
        <v>35844.478646050586</v>
      </c>
      <c r="E18">
        <v>0.498</v>
      </c>
      <c r="F18">
        <f>B18/D18-1</f>
        <v>0.98127513939156041</v>
      </c>
      <c r="G18">
        <f>C18-E18</f>
        <v>0.36299999999999999</v>
      </c>
      <c r="I18">
        <v>1</v>
      </c>
    </row>
    <row r="19" spans="1:9" x14ac:dyDescent="0.45">
      <c r="A19" t="s">
        <v>89</v>
      </c>
      <c r="B19">
        <v>43394.273282231392</v>
      </c>
      <c r="C19">
        <v>0.6409999999999999</v>
      </c>
      <c r="D19">
        <v>22543.918316410469</v>
      </c>
      <c r="E19">
        <v>0.83499999999999996</v>
      </c>
      <c r="F19">
        <f>B19/D19-1</f>
        <v>0.92487715192985132</v>
      </c>
      <c r="G19">
        <f>C19-E19</f>
        <v>-0.19400000000000006</v>
      </c>
    </row>
    <row r="20" spans="1:9" x14ac:dyDescent="0.45">
      <c r="A20" t="s">
        <v>64</v>
      </c>
      <c r="B20">
        <v>26986.568596749126</v>
      </c>
      <c r="C20">
        <v>0.96499999999999997</v>
      </c>
      <c r="D20">
        <v>14045.071137177483</v>
      </c>
      <c r="E20">
        <v>1.4809999999999999</v>
      </c>
      <c r="F20">
        <f>B20/D20-1</f>
        <v>0.92142626642276904</v>
      </c>
      <c r="G20">
        <f>C20-E20</f>
        <v>-0.5159999999999999</v>
      </c>
    </row>
    <row r="21" spans="1:9" x14ac:dyDescent="0.45">
      <c r="A21" t="s">
        <v>74</v>
      </c>
      <c r="B21">
        <v>51262.510575688393</v>
      </c>
      <c r="C21">
        <v>1.0209999999999999</v>
      </c>
      <c r="D21">
        <v>26988.1069013509</v>
      </c>
      <c r="E21">
        <v>0.83099999999999996</v>
      </c>
      <c r="F21">
        <f>B21/D21-1</f>
        <v>0.8994481814922124</v>
      </c>
      <c r="G21">
        <f>C21-E21</f>
        <v>0.18999999999999995</v>
      </c>
    </row>
    <row r="22" spans="1:9" x14ac:dyDescent="0.45">
      <c r="A22" t="s">
        <v>48</v>
      </c>
      <c r="B22">
        <v>18550.462890625</v>
      </c>
      <c r="C22">
        <v>2.5329999999999999</v>
      </c>
      <c r="D22">
        <v>9921.833984375</v>
      </c>
      <c r="E22">
        <v>3.4930000000000003</v>
      </c>
      <c r="F22">
        <f>B22/D22-1</f>
        <v>0.86966068166817223</v>
      </c>
      <c r="G22">
        <f>C22-E22</f>
        <v>-0.96000000000000041</v>
      </c>
    </row>
    <row r="23" spans="1:9" x14ac:dyDescent="0.45">
      <c r="A23" t="s">
        <v>32</v>
      </c>
      <c r="B23">
        <v>27541.662528338416</v>
      </c>
      <c r="C23">
        <v>2.3490000000000002</v>
      </c>
      <c r="D23">
        <v>14804.097406965937</v>
      </c>
      <c r="E23">
        <v>1.7190000000000001</v>
      </c>
      <c r="F23">
        <f>B23/D23-1</f>
        <v>0.86040808643821354</v>
      </c>
      <c r="G23">
        <f>C23-E23</f>
        <v>0.63000000000000012</v>
      </c>
    </row>
    <row r="24" spans="1:9" x14ac:dyDescent="0.45">
      <c r="A24" t="s">
        <v>55</v>
      </c>
      <c r="B24">
        <v>57186.371353817427</v>
      </c>
      <c r="C24">
        <v>0.94</v>
      </c>
      <c r="D24">
        <v>31336.204385888104</v>
      </c>
      <c r="E24">
        <v>0.79599999999999993</v>
      </c>
      <c r="F24">
        <f>B24/D24-1</f>
        <v>0.82492974099858252</v>
      </c>
      <c r="G24">
        <f>C24-E24</f>
        <v>0.14400000000000002</v>
      </c>
    </row>
    <row r="25" spans="1:9" x14ac:dyDescent="0.45">
      <c r="A25" t="s">
        <v>82</v>
      </c>
      <c r="B25">
        <v>40890.931769440824</v>
      </c>
      <c r="C25">
        <v>1.7730000000000001</v>
      </c>
      <c r="D25">
        <v>22484.365138260669</v>
      </c>
      <c r="E25">
        <v>1.867</v>
      </c>
      <c r="F25">
        <f>B25/D25-1</f>
        <v>0.81863848580979037</v>
      </c>
      <c r="G25">
        <f>C25-E25</f>
        <v>-9.3999999999999861E-2</v>
      </c>
    </row>
    <row r="26" spans="1:9" x14ac:dyDescent="0.45">
      <c r="A26" t="s">
        <v>56</v>
      </c>
      <c r="B26">
        <v>48552.47080925294</v>
      </c>
      <c r="C26">
        <v>1.2709999999999999</v>
      </c>
      <c r="D26">
        <v>26937.732081886443</v>
      </c>
      <c r="E26">
        <v>0.84</v>
      </c>
      <c r="F26">
        <f>B26/D26-1</f>
        <v>0.80239638072207087</v>
      </c>
      <c r="G26">
        <f>C26-E26</f>
        <v>0.43099999999999994</v>
      </c>
    </row>
    <row r="27" spans="1:9" x14ac:dyDescent="0.45">
      <c r="A27" t="s">
        <v>79</v>
      </c>
      <c r="B27">
        <v>31106.764355672858</v>
      </c>
      <c r="C27">
        <v>1.2250000000000001</v>
      </c>
      <c r="D27">
        <v>17525.140462514501</v>
      </c>
      <c r="E27">
        <v>0.84299999999999997</v>
      </c>
      <c r="F27">
        <f>B27/D27-1</f>
        <v>0.77497946006246576</v>
      </c>
      <c r="G27">
        <f>C27-E27</f>
        <v>0.38200000000000012</v>
      </c>
    </row>
    <row r="28" spans="1:9" x14ac:dyDescent="0.45">
      <c r="A28" t="s">
        <v>50</v>
      </c>
      <c r="B28">
        <v>11878.552870684822</v>
      </c>
      <c r="C28">
        <v>3.077</v>
      </c>
      <c r="D28">
        <v>6799.5733284218295</v>
      </c>
      <c r="E28">
        <v>2.7749999999999999</v>
      </c>
      <c r="F28">
        <f>B28/D28-1</f>
        <v>0.74695562455855091</v>
      </c>
      <c r="G28">
        <f>C28-E28</f>
        <v>0.30200000000000005</v>
      </c>
    </row>
    <row r="29" spans="1:9" x14ac:dyDescent="0.45">
      <c r="A29" t="s">
        <v>41</v>
      </c>
      <c r="B29">
        <v>51679.888380752695</v>
      </c>
      <c r="C29">
        <v>1.155</v>
      </c>
      <c r="D29">
        <v>29608.007151395595</v>
      </c>
      <c r="E29">
        <v>0.61899999999999999</v>
      </c>
      <c r="F29">
        <f>B29/D29-1</f>
        <v>0.74547000466786639</v>
      </c>
      <c r="G29">
        <f>C29-E29</f>
        <v>0.53600000000000003</v>
      </c>
    </row>
    <row r="30" spans="1:9" x14ac:dyDescent="0.45">
      <c r="A30" t="s">
        <v>104</v>
      </c>
      <c r="B30">
        <v>84256.845457311152</v>
      </c>
      <c r="C30">
        <v>0.746</v>
      </c>
      <c r="D30">
        <v>49201.064096455295</v>
      </c>
      <c r="E30">
        <v>0.52700000000000002</v>
      </c>
      <c r="F30">
        <f>B30/D30-1</f>
        <v>0.71250047137459083</v>
      </c>
      <c r="G30">
        <f>C30-E30</f>
        <v>0.21899999999999997</v>
      </c>
    </row>
    <row r="31" spans="1:9" x14ac:dyDescent="0.45">
      <c r="A31" t="s">
        <v>20</v>
      </c>
      <c r="B31">
        <v>11794.137548849178</v>
      </c>
      <c r="C31">
        <v>2.1150000000000002</v>
      </c>
      <c r="D31">
        <v>6894.2670221793451</v>
      </c>
      <c r="E31">
        <v>1.986</v>
      </c>
      <c r="F31">
        <f>B31/D31-1</f>
        <v>0.71071667385475523</v>
      </c>
      <c r="G31">
        <f>C31-E31</f>
        <v>0.12900000000000023</v>
      </c>
    </row>
    <row r="32" spans="1:9" x14ac:dyDescent="0.45">
      <c r="A32" t="s">
        <v>97</v>
      </c>
      <c r="B32">
        <v>86173.629084173808</v>
      </c>
      <c r="C32">
        <v>0.57200000000000006</v>
      </c>
      <c r="D32">
        <v>50956.693094218521</v>
      </c>
      <c r="E32">
        <v>0.46100000000000002</v>
      </c>
      <c r="F32">
        <f>B32/D32-1</f>
        <v>0.69111502045157147</v>
      </c>
      <c r="G32">
        <f>C32-E32</f>
        <v>0.11100000000000004</v>
      </c>
    </row>
    <row r="33" spans="1:7" x14ac:dyDescent="0.45">
      <c r="A33" t="s">
        <v>71</v>
      </c>
      <c r="B33">
        <v>49968.710827837298</v>
      </c>
      <c r="C33">
        <v>0.91400000000000003</v>
      </c>
      <c r="D33">
        <v>29712.629947372814</v>
      </c>
      <c r="E33">
        <v>0.78099999999999992</v>
      </c>
      <c r="F33">
        <f>B33/D33-1</f>
        <v>0.6817330177888048</v>
      </c>
      <c r="G33">
        <f>C33-E33</f>
        <v>0.13300000000000012</v>
      </c>
    </row>
    <row r="34" spans="1:7" x14ac:dyDescent="0.45">
      <c r="A34" t="s">
        <v>28</v>
      </c>
      <c r="B34">
        <v>22349.436440122994</v>
      </c>
      <c r="C34">
        <v>2.6180000000000003</v>
      </c>
      <c r="D34">
        <v>13332.055504821143</v>
      </c>
      <c r="E34">
        <v>1.8859999999999999</v>
      </c>
      <c r="F34">
        <f>B34/D34-1</f>
        <v>0.67636839135878057</v>
      </c>
      <c r="G34">
        <f>C34-E34</f>
        <v>0.73200000000000043</v>
      </c>
    </row>
    <row r="35" spans="1:7" x14ac:dyDescent="0.45">
      <c r="A35" t="s">
        <v>106</v>
      </c>
      <c r="B35">
        <v>81878.234984918134</v>
      </c>
      <c r="C35">
        <v>0.48100000000000004</v>
      </c>
      <c r="D35">
        <v>48897.209977661121</v>
      </c>
      <c r="E35">
        <v>0.34299999999999997</v>
      </c>
      <c r="F35">
        <f>B35/D35-1</f>
        <v>0.67449707298891948</v>
      </c>
      <c r="G35">
        <f>C35-E35</f>
        <v>0.13800000000000007</v>
      </c>
    </row>
    <row r="36" spans="1:7" x14ac:dyDescent="0.45">
      <c r="A36" t="s">
        <v>30</v>
      </c>
      <c r="B36">
        <v>13264.027090968028</v>
      </c>
      <c r="C36">
        <v>1.9590000000000001</v>
      </c>
      <c r="D36">
        <v>7933.7369785899909</v>
      </c>
      <c r="E36">
        <v>3.3610000000000002</v>
      </c>
      <c r="F36">
        <f>B36/D36-1</f>
        <v>0.67185112473004538</v>
      </c>
      <c r="G36">
        <f>C36-E36</f>
        <v>-1.4020000000000001</v>
      </c>
    </row>
    <row r="37" spans="1:7" x14ac:dyDescent="0.45">
      <c r="A37" t="s">
        <v>57</v>
      </c>
      <c r="B37">
        <v>44327.209780827565</v>
      </c>
      <c r="C37">
        <v>0.99199999999999999</v>
      </c>
      <c r="D37">
        <v>26607.725679697571</v>
      </c>
      <c r="E37">
        <v>0.753</v>
      </c>
      <c r="F37">
        <f>B37/D37-1</f>
        <v>0.66595260017470981</v>
      </c>
      <c r="G37">
        <f>C37-E37</f>
        <v>0.23899999999999999</v>
      </c>
    </row>
    <row r="38" spans="1:7" x14ac:dyDescent="0.45">
      <c r="A38" t="s">
        <v>35</v>
      </c>
      <c r="B38">
        <v>25088.999375713367</v>
      </c>
      <c r="C38">
        <v>1.6780000000000002</v>
      </c>
      <c r="D38">
        <v>15075.272634791074</v>
      </c>
      <c r="E38">
        <v>1.857</v>
      </c>
      <c r="F38">
        <f>B38/D38-1</f>
        <v>0.664248467242468</v>
      </c>
      <c r="G38">
        <f>C38-E38</f>
        <v>-0.17899999999999983</v>
      </c>
    </row>
    <row r="39" spans="1:7" x14ac:dyDescent="0.45">
      <c r="A39" t="s">
        <v>83</v>
      </c>
      <c r="B39">
        <v>62014.26751536892</v>
      </c>
      <c r="C39">
        <v>0.72699999999999998</v>
      </c>
      <c r="D39">
        <v>37384.37964554059</v>
      </c>
      <c r="E39">
        <v>0.94099999999999995</v>
      </c>
      <c r="F39">
        <f>B39/D39-1</f>
        <v>0.65882831555200938</v>
      </c>
      <c r="G39">
        <f>C39-E39</f>
        <v>-0.21399999999999997</v>
      </c>
    </row>
    <row r="40" spans="1:7" x14ac:dyDescent="0.45">
      <c r="A40" t="s">
        <v>90</v>
      </c>
      <c r="B40">
        <v>57965.294813883731</v>
      </c>
      <c r="C40">
        <v>0.59399999999999997</v>
      </c>
      <c r="D40">
        <v>35228.6333036223</v>
      </c>
      <c r="E40">
        <v>0.66400000000000003</v>
      </c>
      <c r="F40">
        <f>B40/D40-1</f>
        <v>0.64540288333932017</v>
      </c>
      <c r="G40">
        <f>C40-E40</f>
        <v>-7.0000000000000062E-2</v>
      </c>
    </row>
    <row r="41" spans="1:7" x14ac:dyDescent="0.45">
      <c r="A41" t="s">
        <v>54</v>
      </c>
      <c r="B41">
        <v>36417.874162496009</v>
      </c>
      <c r="C41">
        <v>1.141</v>
      </c>
      <c r="D41">
        <v>22168.611418967605</v>
      </c>
      <c r="E41">
        <v>1.085</v>
      </c>
      <c r="F41">
        <f>B41/D41-1</f>
        <v>0.64276749112651443</v>
      </c>
      <c r="G41">
        <f>C41-E41</f>
        <v>5.600000000000005E-2</v>
      </c>
    </row>
    <row r="42" spans="1:7" x14ac:dyDescent="0.45">
      <c r="A42" t="s">
        <v>40</v>
      </c>
      <c r="B42">
        <v>16448.275517955855</v>
      </c>
      <c r="C42">
        <v>1.633</v>
      </c>
      <c r="D42">
        <v>10027.537299602549</v>
      </c>
      <c r="E42">
        <v>2.1739999999999999</v>
      </c>
      <c r="F42">
        <f>B42/D42-1</f>
        <v>0.64031057940894409</v>
      </c>
      <c r="G42">
        <f>C42-E42</f>
        <v>-0.54099999999999993</v>
      </c>
    </row>
    <row r="43" spans="1:7" x14ac:dyDescent="0.45">
      <c r="A43" t="s">
        <v>34</v>
      </c>
      <c r="B43">
        <v>36181.156616977023</v>
      </c>
      <c r="C43">
        <v>1.2629999999999999</v>
      </c>
      <c r="D43">
        <v>22468.312574554722</v>
      </c>
      <c r="E43">
        <v>0.877</v>
      </c>
      <c r="F43">
        <f>B43/D43-1</f>
        <v>0.61031926616296261</v>
      </c>
      <c r="G43">
        <f>C43-E43</f>
        <v>0.3859999999999999</v>
      </c>
    </row>
    <row r="44" spans="1:7" x14ac:dyDescent="0.45">
      <c r="A44" t="s">
        <v>102</v>
      </c>
      <c r="B44">
        <v>73514.483104525832</v>
      </c>
      <c r="C44">
        <v>0.48</v>
      </c>
      <c r="D44">
        <v>46071.914889496016</v>
      </c>
      <c r="E44">
        <v>0.45899999999999996</v>
      </c>
      <c r="F44">
        <f>B44/D44-1</f>
        <v>0.59564635593834359</v>
      </c>
      <c r="G44">
        <f>C44-E44</f>
        <v>2.1000000000000019E-2</v>
      </c>
    </row>
    <row r="45" spans="1:7" x14ac:dyDescent="0.45">
      <c r="A45" t="s">
        <v>46</v>
      </c>
      <c r="B45">
        <v>57235.776324413557</v>
      </c>
      <c r="C45">
        <v>1.0649999999999999</v>
      </c>
      <c r="D45">
        <v>35870.792715630116</v>
      </c>
      <c r="E45">
        <v>0.68900000000000006</v>
      </c>
      <c r="F45">
        <f>B45/D45-1</f>
        <v>0.59560946361450195</v>
      </c>
      <c r="G45">
        <f>C45-E45</f>
        <v>0.37599999999999989</v>
      </c>
    </row>
    <row r="46" spans="1:7" x14ac:dyDescent="0.45">
      <c r="A46" t="s">
        <v>87</v>
      </c>
      <c r="B46">
        <v>38779.283044225274</v>
      </c>
      <c r="C46">
        <v>0.6409999999999999</v>
      </c>
      <c r="D46">
        <v>24526.394271601155</v>
      </c>
      <c r="E46">
        <v>0.64800000000000002</v>
      </c>
      <c r="F46">
        <f>B46/D46-1</f>
        <v>0.58112450671672455</v>
      </c>
      <c r="G46">
        <f>C46-E46</f>
        <v>-7.0000000000001172E-3</v>
      </c>
    </row>
    <row r="47" spans="1:7" x14ac:dyDescent="0.45">
      <c r="A47" t="s">
        <v>25</v>
      </c>
      <c r="B47">
        <v>31839.759753552396</v>
      </c>
      <c r="C47">
        <v>1.5919999999999999</v>
      </c>
      <c r="D47">
        <v>20269.523509561048</v>
      </c>
      <c r="E47">
        <v>2.2880000000000003</v>
      </c>
      <c r="F47">
        <f>B47/D47-1</f>
        <v>0.57081935046641408</v>
      </c>
      <c r="G47">
        <f>C47-E47</f>
        <v>-0.6960000000000004</v>
      </c>
    </row>
    <row r="48" spans="1:7" x14ac:dyDescent="0.45">
      <c r="A48" t="s">
        <v>18</v>
      </c>
      <c r="B48">
        <v>24712.06585751352</v>
      </c>
      <c r="C48">
        <v>2.1339999999999999</v>
      </c>
      <c r="D48">
        <v>15791.171476220708</v>
      </c>
      <c r="E48">
        <v>1.7949999999999999</v>
      </c>
      <c r="F48">
        <f>B48/D48-1</f>
        <v>0.56492923243385884</v>
      </c>
      <c r="G48">
        <f>C48-E48</f>
        <v>0.33899999999999997</v>
      </c>
    </row>
    <row r="49" spans="1:7" x14ac:dyDescent="0.45">
      <c r="A49" t="s">
        <v>94</v>
      </c>
      <c r="B49">
        <v>72111.184462812598</v>
      </c>
      <c r="C49">
        <v>0.71900000000000008</v>
      </c>
      <c r="D49">
        <v>46464.586762792911</v>
      </c>
      <c r="E49">
        <v>0.59299999999999997</v>
      </c>
      <c r="F49">
        <f>B49/D49-1</f>
        <v>0.55196009448977845</v>
      </c>
      <c r="G49">
        <f>C49-E49</f>
        <v>0.12600000000000011</v>
      </c>
    </row>
    <row r="50" spans="1:7" x14ac:dyDescent="0.45">
      <c r="A50" t="s">
        <v>91</v>
      </c>
      <c r="B50">
        <v>14464.31869281728</v>
      </c>
      <c r="C50">
        <v>0.86900000000000011</v>
      </c>
      <c r="D50">
        <v>9334.4660486631528</v>
      </c>
      <c r="E50">
        <v>0.93200000000000005</v>
      </c>
      <c r="F50">
        <f>B50/D50-1</f>
        <v>0.54956037307445182</v>
      </c>
      <c r="G50">
        <f>C50-E50</f>
        <v>-6.2999999999999945E-2</v>
      </c>
    </row>
    <row r="51" spans="1:7" x14ac:dyDescent="0.45">
      <c r="A51" t="s">
        <v>95</v>
      </c>
      <c r="B51">
        <v>65378.384185972063</v>
      </c>
      <c r="C51">
        <v>0.56700000000000006</v>
      </c>
      <c r="D51">
        <v>42257.859379129681</v>
      </c>
      <c r="E51">
        <v>0.435</v>
      </c>
      <c r="F51">
        <f>B51/D51-1</f>
        <v>0.54712957888872982</v>
      </c>
      <c r="G51">
        <f>C51-E51</f>
        <v>0.13200000000000006</v>
      </c>
    </row>
    <row r="52" spans="1:7" x14ac:dyDescent="0.45">
      <c r="A52" t="s">
        <v>26</v>
      </c>
      <c r="B52">
        <v>17802.418249897237</v>
      </c>
      <c r="C52">
        <v>2.1840000000000002</v>
      </c>
      <c r="D52">
        <v>11600.387399286728</v>
      </c>
      <c r="E52">
        <v>1.8980000000000001</v>
      </c>
      <c r="F52">
        <f>B52/D52-1</f>
        <v>0.53463997685041553</v>
      </c>
      <c r="G52">
        <f>C52-E52</f>
        <v>0.28600000000000003</v>
      </c>
    </row>
    <row r="53" spans="1:7" x14ac:dyDescent="0.45">
      <c r="A53" t="s">
        <v>80</v>
      </c>
      <c r="B53">
        <v>62556.918104540004</v>
      </c>
      <c r="C53">
        <v>0.72499999999999998</v>
      </c>
      <c r="D53">
        <v>40905.17677509936</v>
      </c>
      <c r="E53">
        <v>0.66700000000000004</v>
      </c>
      <c r="F53">
        <f>B53/D53-1</f>
        <v>0.5293154323347391</v>
      </c>
      <c r="G53">
        <f>C53-E53</f>
        <v>5.799999999999994E-2</v>
      </c>
    </row>
    <row r="54" spans="1:7" x14ac:dyDescent="0.45">
      <c r="A54" t="s">
        <v>73</v>
      </c>
      <c r="B54">
        <v>41369.422541498956</v>
      </c>
      <c r="C54">
        <v>0.98799999999999999</v>
      </c>
      <c r="D54">
        <v>27245.278840263127</v>
      </c>
      <c r="E54">
        <v>0.88800000000000001</v>
      </c>
      <c r="F54">
        <f>B54/D54-1</f>
        <v>0.51840701591070304</v>
      </c>
      <c r="G54">
        <f>C54-E54</f>
        <v>9.9999999999999978E-2</v>
      </c>
    </row>
    <row r="55" spans="1:7" x14ac:dyDescent="0.45">
      <c r="A55" t="s">
        <v>85</v>
      </c>
      <c r="B55">
        <v>73551.934769683605</v>
      </c>
      <c r="C55">
        <v>0.64599999999999991</v>
      </c>
      <c r="D55">
        <v>48545.40072196204</v>
      </c>
      <c r="E55">
        <v>0.44299999999999995</v>
      </c>
      <c r="F55">
        <f>B55/D55-1</f>
        <v>0.51511644101865572</v>
      </c>
      <c r="G55">
        <f>C55-E55</f>
        <v>0.20299999999999996</v>
      </c>
    </row>
    <row r="56" spans="1:7" x14ac:dyDescent="0.45">
      <c r="A56" t="s">
        <v>109</v>
      </c>
      <c r="B56">
        <v>85809.900384635912</v>
      </c>
      <c r="C56">
        <v>0.30099999999999999</v>
      </c>
      <c r="D56">
        <v>56849.46979231594</v>
      </c>
      <c r="E56">
        <v>0.19399999999999998</v>
      </c>
      <c r="F56">
        <f>B56/D56-1</f>
        <v>0.50942305527420073</v>
      </c>
      <c r="G56">
        <f>C56-E56</f>
        <v>0.10700000000000001</v>
      </c>
    </row>
    <row r="57" spans="1:7" x14ac:dyDescent="0.45">
      <c r="A57" t="s">
        <v>37</v>
      </c>
      <c r="B57">
        <v>22338.476564063538</v>
      </c>
      <c r="C57">
        <v>1.8869999999999998</v>
      </c>
      <c r="D57">
        <v>14821.438317518334</v>
      </c>
      <c r="E57">
        <v>2.0059999999999998</v>
      </c>
      <c r="F57">
        <f>B57/D57-1</f>
        <v>0.50717333132644571</v>
      </c>
      <c r="G57">
        <f>C57-E57</f>
        <v>-0.11899999999999999</v>
      </c>
    </row>
    <row r="58" spans="1:7" x14ac:dyDescent="0.45">
      <c r="A58" t="s">
        <v>70</v>
      </c>
      <c r="B58">
        <v>73911.43966313597</v>
      </c>
      <c r="C58">
        <v>0.81200000000000006</v>
      </c>
      <c r="D58">
        <v>49549.316231144054</v>
      </c>
      <c r="E58">
        <v>0.64300000000000002</v>
      </c>
      <c r="F58">
        <f>B58/D58-1</f>
        <v>0.49167426081813792</v>
      </c>
      <c r="G58">
        <f>C58-E58</f>
        <v>0.16900000000000004</v>
      </c>
    </row>
    <row r="59" spans="1:7" x14ac:dyDescent="0.45">
      <c r="A59" t="s">
        <v>98</v>
      </c>
      <c r="B59">
        <v>55551.143658637026</v>
      </c>
      <c r="C59">
        <v>0.67</v>
      </c>
      <c r="D59">
        <v>37513.296387244161</v>
      </c>
      <c r="E59">
        <v>0.49099999999999999</v>
      </c>
      <c r="F59">
        <f>B59/D59-1</f>
        <v>0.48083876941100723</v>
      </c>
      <c r="G59">
        <f>C59-E59</f>
        <v>0.17900000000000005</v>
      </c>
    </row>
    <row r="60" spans="1:7" x14ac:dyDescent="0.45">
      <c r="A60" t="s">
        <v>75</v>
      </c>
      <c r="B60">
        <v>96497.694797132295</v>
      </c>
      <c r="C60">
        <v>0.69599999999999995</v>
      </c>
      <c r="D60">
        <v>65265.045733559971</v>
      </c>
      <c r="E60">
        <v>0.44</v>
      </c>
      <c r="F60">
        <f>B60/D60-1</f>
        <v>0.47855094120484409</v>
      </c>
      <c r="G60">
        <f>C60-E60</f>
        <v>0.25599999999999995</v>
      </c>
    </row>
    <row r="61" spans="1:7" x14ac:dyDescent="0.45">
      <c r="A61" t="s">
        <v>96</v>
      </c>
      <c r="B61">
        <v>71844.912988057898</v>
      </c>
      <c r="C61">
        <v>0.58599999999999997</v>
      </c>
      <c r="D61">
        <v>48772.069605727731</v>
      </c>
      <c r="E61">
        <v>0.61899999999999999</v>
      </c>
      <c r="F61">
        <f>B61/D61-1</f>
        <v>0.4730749293366161</v>
      </c>
      <c r="G61">
        <f>C61-E61</f>
        <v>-3.3000000000000029E-2</v>
      </c>
    </row>
    <row r="62" spans="1:7" x14ac:dyDescent="0.45">
      <c r="A62" t="s">
        <v>67</v>
      </c>
      <c r="B62">
        <v>12877.635118437232</v>
      </c>
      <c r="C62">
        <v>1.1459999999999999</v>
      </c>
      <c r="D62">
        <v>8757.3177711540648</v>
      </c>
      <c r="E62">
        <v>0.94499999999999995</v>
      </c>
      <c r="F62">
        <f>B62/D62-1</f>
        <v>0.47049992417257913</v>
      </c>
      <c r="G62">
        <f>C62-E62</f>
        <v>0.20099999999999996</v>
      </c>
    </row>
    <row r="63" spans="1:7" x14ac:dyDescent="0.45">
      <c r="A63" t="s">
        <v>86</v>
      </c>
      <c r="B63">
        <v>62009.490776536586</v>
      </c>
      <c r="C63">
        <v>0.74199999999999999</v>
      </c>
      <c r="D63">
        <v>42515.278865824046</v>
      </c>
      <c r="E63">
        <v>0.63400000000000001</v>
      </c>
      <c r="F63">
        <f>B63/D63-1</f>
        <v>0.45852249898760467</v>
      </c>
      <c r="G63">
        <f>C63-E63</f>
        <v>0.10799999999999998</v>
      </c>
    </row>
    <row r="64" spans="1:7" x14ac:dyDescent="0.45">
      <c r="A64" t="s">
        <v>68</v>
      </c>
      <c r="B64">
        <v>15840.266856741184</v>
      </c>
      <c r="C64">
        <v>1.375</v>
      </c>
      <c r="D64">
        <v>10877.750746138814</v>
      </c>
      <c r="E64">
        <v>1.6769999999999998</v>
      </c>
      <c r="F64">
        <f>B64/D64-1</f>
        <v>0.45620792629063267</v>
      </c>
      <c r="G64">
        <f>C64-E64</f>
        <v>-0.30199999999999982</v>
      </c>
    </row>
    <row r="65" spans="1:7" x14ac:dyDescent="0.45">
      <c r="A65" t="s">
        <v>81</v>
      </c>
      <c r="B65">
        <v>64610.379517197114</v>
      </c>
      <c r="C65">
        <v>0.92099999999999993</v>
      </c>
      <c r="D65">
        <v>44668.091281430337</v>
      </c>
      <c r="E65">
        <v>0.379</v>
      </c>
      <c r="F65">
        <f>B65/D65-1</f>
        <v>0.44645490021323786</v>
      </c>
      <c r="G65">
        <f>C65-E65</f>
        <v>0.54199999999999993</v>
      </c>
    </row>
    <row r="66" spans="1:7" x14ac:dyDescent="0.45">
      <c r="A66" t="s">
        <v>43</v>
      </c>
      <c r="B66">
        <v>6252.1154319955858</v>
      </c>
      <c r="C66">
        <v>2.9260000000000002</v>
      </c>
      <c r="D66">
        <v>4480.2631346098487</v>
      </c>
      <c r="E66">
        <v>2.1819999999999999</v>
      </c>
      <c r="F66">
        <f>B66/D66-1</f>
        <v>0.39547951630301603</v>
      </c>
      <c r="G66">
        <f>C66-E66</f>
        <v>0.74400000000000022</v>
      </c>
    </row>
    <row r="67" spans="1:7" x14ac:dyDescent="0.45">
      <c r="A67" t="s">
        <v>69</v>
      </c>
      <c r="B67">
        <v>26185.356471325278</v>
      </c>
      <c r="C67">
        <v>1.5</v>
      </c>
      <c r="D67">
        <v>19071.444419646581</v>
      </c>
      <c r="E67">
        <v>0.77300000000000002</v>
      </c>
      <c r="F67">
        <f>B67/D67-1</f>
        <v>0.37301380509754423</v>
      </c>
      <c r="G67">
        <f>C67-E67</f>
        <v>0.72699999999999998</v>
      </c>
    </row>
    <row r="68" spans="1:7" x14ac:dyDescent="0.45">
      <c r="A68" t="s">
        <v>65</v>
      </c>
      <c r="B68">
        <v>14521.008093763836</v>
      </c>
      <c r="C68">
        <v>1.5319999999999998</v>
      </c>
      <c r="D68">
        <v>10782.543838244115</v>
      </c>
      <c r="E68">
        <v>1.093</v>
      </c>
      <c r="F68">
        <f>B68/D68-1</f>
        <v>0.34671449628240159</v>
      </c>
      <c r="G68">
        <f>C68-E68</f>
        <v>0.43899999999999983</v>
      </c>
    </row>
    <row r="69" spans="1:7" x14ac:dyDescent="0.45">
      <c r="A69" t="s">
        <v>51</v>
      </c>
      <c r="B69">
        <v>10415.1240234375</v>
      </c>
      <c r="C69">
        <v>1.0580000000000001</v>
      </c>
      <c r="D69">
        <v>7799.09228515625</v>
      </c>
      <c r="E69">
        <v>1.36</v>
      </c>
      <c r="F69">
        <f>B69/D69-1</f>
        <v>0.33542771935911753</v>
      </c>
      <c r="G69">
        <f>C69-E69</f>
        <v>-0.30200000000000005</v>
      </c>
    </row>
    <row r="70" spans="1:7" x14ac:dyDescent="0.45">
      <c r="A70" t="s">
        <v>112</v>
      </c>
      <c r="B70">
        <v>71375.372789028523</v>
      </c>
      <c r="C70">
        <v>0.24</v>
      </c>
      <c r="D70">
        <v>53930.827387262187</v>
      </c>
      <c r="E70">
        <v>0.23499999999999999</v>
      </c>
      <c r="F70">
        <f>B70/D70-1</f>
        <v>0.32346148291962851</v>
      </c>
      <c r="G70">
        <f>C70-E70</f>
        <v>5.0000000000000044E-3</v>
      </c>
    </row>
    <row r="71" spans="1:7" x14ac:dyDescent="0.45">
      <c r="A71" t="s">
        <v>31</v>
      </c>
      <c r="B71">
        <v>17620.742395612582</v>
      </c>
      <c r="C71">
        <v>1.476</v>
      </c>
      <c r="D71">
        <v>13807.351584147766</v>
      </c>
      <c r="E71">
        <v>1.615</v>
      </c>
      <c r="F71">
        <f>B71/D71-1</f>
        <v>0.2761855369745907</v>
      </c>
      <c r="G71">
        <f>C71-E71</f>
        <v>-0.13900000000000001</v>
      </c>
    </row>
    <row r="72" spans="1:7" x14ac:dyDescent="0.45">
      <c r="A72" t="s">
        <v>66</v>
      </c>
      <c r="B72">
        <v>52039.171655161132</v>
      </c>
      <c r="C72">
        <v>0.72900000000000009</v>
      </c>
      <c r="D72">
        <v>40898.806973960003</v>
      </c>
      <c r="E72">
        <v>0.55799999999999994</v>
      </c>
      <c r="F72">
        <f>B72/D72-1</f>
        <v>0.27238849994558834</v>
      </c>
      <c r="G72">
        <f>C72-E72</f>
        <v>0.17100000000000015</v>
      </c>
    </row>
    <row r="73" spans="1:7" x14ac:dyDescent="0.45">
      <c r="A73" t="s">
        <v>101</v>
      </c>
      <c r="B73">
        <v>10821.490976531695</v>
      </c>
      <c r="C73">
        <v>0.67299999999999993</v>
      </c>
      <c r="D73">
        <v>8967.0799583780827</v>
      </c>
      <c r="E73">
        <v>0.875</v>
      </c>
      <c r="F73">
        <f>B73/D73-1</f>
        <v>0.20680210578706926</v>
      </c>
      <c r="G73">
        <f>C73-E73</f>
        <v>-0.20200000000000007</v>
      </c>
    </row>
    <row r="74" spans="1:7" x14ac:dyDescent="0.45">
      <c r="A74" t="s">
        <v>99</v>
      </c>
      <c r="B74">
        <v>52443.596922362623</v>
      </c>
      <c r="C74">
        <v>0.60699999999999998</v>
      </c>
      <c r="D74">
        <v>45267.308534745178</v>
      </c>
      <c r="E74">
        <v>0.54700000000000004</v>
      </c>
      <c r="F74">
        <f>B74/D74-1</f>
        <v>0.15853136888201003</v>
      </c>
      <c r="G74">
        <f>C74-E74</f>
        <v>5.9999999999999942E-2</v>
      </c>
    </row>
    <row r="75" spans="1:7" x14ac:dyDescent="0.45">
      <c r="A75" t="s">
        <v>111</v>
      </c>
      <c r="B75">
        <v>41740.16585300117</v>
      </c>
      <c r="C75">
        <v>0.24600000000000002</v>
      </c>
      <c r="D75">
        <v>36058.166608478794</v>
      </c>
      <c r="E75">
        <v>0.30299999999999999</v>
      </c>
      <c r="F75">
        <f>B75/D75-1</f>
        <v>0.15757870626695425</v>
      </c>
      <c r="G75">
        <f>C75-E75</f>
        <v>-5.6999999999999967E-2</v>
      </c>
    </row>
    <row r="76" spans="1:7" x14ac:dyDescent="0.45">
      <c r="A76" t="s">
        <v>110</v>
      </c>
      <c r="B76">
        <v>15456.19899336581</v>
      </c>
      <c r="C76">
        <v>0.41600000000000004</v>
      </c>
      <c r="D76">
        <v>13397.523481334631</v>
      </c>
      <c r="E76">
        <v>0.33600000000000002</v>
      </c>
      <c r="F76">
        <f>B76/D76-1</f>
        <v>0.15366089971025731</v>
      </c>
      <c r="G76">
        <f>C76-E76</f>
        <v>8.0000000000000016E-2</v>
      </c>
    </row>
    <row r="77" spans="1:7" x14ac:dyDescent="0.45">
      <c r="A77" t="s">
        <v>100</v>
      </c>
      <c r="B77">
        <v>79228.73880127602</v>
      </c>
      <c r="C77">
        <v>0.53900000000000003</v>
      </c>
      <c r="D77">
        <v>73986.063639594504</v>
      </c>
      <c r="E77">
        <v>0.499</v>
      </c>
      <c r="F77">
        <f>B77/D77-1</f>
        <v>7.0860306708841359E-2</v>
      </c>
      <c r="G77">
        <f>C77-E77</f>
        <v>4.0000000000000036E-2</v>
      </c>
    </row>
  </sheetData>
  <autoFilter ref="A1:G86" xr:uid="{5ABB7268-D74F-48AE-9B83-CF90FD63230E}"/>
  <sortState xmlns:xlrd2="http://schemas.microsoft.com/office/spreadsheetml/2017/richdata2" ref="A3:I77">
    <sortCondition descending="1" ref="H3:H7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2015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Grigoryan</dc:creator>
  <cp:lastModifiedBy>Arthur Grigoryan</cp:lastModifiedBy>
  <dcterms:created xsi:type="dcterms:W3CDTF">2026-02-14T16:32:53Z</dcterms:created>
  <dcterms:modified xsi:type="dcterms:W3CDTF">2026-02-14T17:16:39Z</dcterms:modified>
</cp:coreProperties>
</file>